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96" windowWidth="22980" windowHeight="9516"/>
  </bookViews>
  <sheets>
    <sheet name="Report" sheetId="1" r:id="rId1"/>
    <sheet name="Graph" sheetId="3" r:id="rId2"/>
    <sheet name="ForReport" sheetId="4" r:id="rId3"/>
    <sheet name="Data" sheetId="2" r:id="rId4"/>
  </sheets>
  <functionGroups builtInGroupCount="17"/>
  <externalReferences>
    <externalReference r:id="rId5"/>
  </externalReferences>
  <definedNames>
    <definedName name="MonthReport">Data!$A$192:$L$193</definedName>
    <definedName name="PowerByWorker">ForReport!$J$1:$L$3</definedName>
    <definedName name="ShiftGas">ForReport!$D$1:$E$2</definedName>
    <definedName name="ShiftPower">ForReport!$A$1:$B$2</definedName>
    <definedName name="ShiftPowerByGas">ForReport!$G$1:$H$2</definedName>
    <definedName name="ShitPower">[1]发电量!$AA$1:$AB$62</definedName>
  </definedNames>
  <calcPr calcId="145621"/>
  <pivotCaches>
    <pivotCache cacheId="8" r:id="rId6"/>
  </pivotCaches>
</workbook>
</file>

<file path=xl/calcChain.xml><?xml version="1.0" encoding="utf-8"?>
<calcChain xmlns="http://schemas.openxmlformats.org/spreadsheetml/2006/main">
  <c r="N3" i="4" l="1"/>
  <c r="O3" i="4"/>
  <c r="N4" i="4"/>
  <c r="O4" i="4"/>
  <c r="N5" i="4"/>
  <c r="O5" i="4"/>
  <c r="N6" i="4"/>
  <c r="O6" i="4"/>
  <c r="N7" i="4"/>
  <c r="O7" i="4"/>
  <c r="N8" i="4"/>
  <c r="O8" i="4"/>
  <c r="N9" i="4"/>
  <c r="O9" i="4"/>
  <c r="N10" i="4"/>
  <c r="O10" i="4"/>
  <c r="N11" i="4"/>
  <c r="O11" i="4"/>
  <c r="N12" i="4"/>
  <c r="O12" i="4"/>
  <c r="N13" i="4"/>
  <c r="O13" i="4"/>
  <c r="N14" i="4"/>
  <c r="O14" i="4"/>
  <c r="N15" i="4"/>
  <c r="O15" i="4"/>
  <c r="N16" i="4"/>
  <c r="O16" i="4"/>
  <c r="N17" i="4"/>
  <c r="O17" i="4"/>
  <c r="N18" i="4"/>
  <c r="O18" i="4"/>
  <c r="N19" i="4"/>
  <c r="O19" i="4"/>
  <c r="N20" i="4"/>
  <c r="O20" i="4"/>
  <c r="N21" i="4"/>
  <c r="O21" i="4"/>
  <c r="N22" i="4"/>
  <c r="O22" i="4"/>
  <c r="N23" i="4"/>
  <c r="O23" i="4"/>
  <c r="N24" i="4"/>
  <c r="O24" i="4"/>
  <c r="N25" i="4"/>
  <c r="O25" i="4"/>
  <c r="N26" i="4"/>
  <c r="O26" i="4"/>
  <c r="N27" i="4"/>
  <c r="O27" i="4"/>
  <c r="N28" i="4"/>
  <c r="O28" i="4"/>
  <c r="N29" i="4"/>
  <c r="O29" i="4"/>
  <c r="N30" i="4"/>
  <c r="O30" i="4"/>
  <c r="N31" i="4"/>
  <c r="O31" i="4"/>
  <c r="N32" i="4"/>
  <c r="O32" i="4"/>
  <c r="N33" i="4"/>
  <c r="O33" i="4"/>
  <c r="N34" i="4"/>
  <c r="O34" i="4"/>
  <c r="N35" i="4"/>
  <c r="O35" i="4"/>
  <c r="N36" i="4"/>
  <c r="O36" i="4"/>
  <c r="N37" i="4"/>
  <c r="O37" i="4"/>
  <c r="N38" i="4"/>
  <c r="O38" i="4"/>
  <c r="N39" i="4"/>
  <c r="O39" i="4"/>
  <c r="N40" i="4"/>
  <c r="O40" i="4"/>
  <c r="N41" i="4"/>
  <c r="O41" i="4"/>
  <c r="N42" i="4"/>
  <c r="O42" i="4"/>
  <c r="N43" i="4"/>
  <c r="O43" i="4"/>
  <c r="N44" i="4"/>
  <c r="O44" i="4"/>
  <c r="N45" i="4"/>
  <c r="O45" i="4"/>
  <c r="N46" i="4"/>
  <c r="O46" i="4"/>
  <c r="N47" i="4"/>
  <c r="O47" i="4"/>
  <c r="N48" i="4"/>
  <c r="O48" i="4"/>
  <c r="N49" i="4"/>
  <c r="O49" i="4"/>
  <c r="N50" i="4"/>
  <c r="O50" i="4"/>
  <c r="N51" i="4"/>
  <c r="O51" i="4"/>
  <c r="N52" i="4"/>
  <c r="O52" i="4"/>
  <c r="N53" i="4"/>
  <c r="O53" i="4"/>
  <c r="N54" i="4"/>
  <c r="O54" i="4"/>
  <c r="N55" i="4"/>
  <c r="O55" i="4"/>
  <c r="N56" i="4"/>
  <c r="O56" i="4"/>
  <c r="N57" i="4"/>
  <c r="O57" i="4"/>
  <c r="N58" i="4"/>
  <c r="O58" i="4"/>
  <c r="N59" i="4"/>
  <c r="O59" i="4"/>
  <c r="N60" i="4"/>
  <c r="O60" i="4"/>
  <c r="N61" i="4"/>
  <c r="O61" i="4"/>
  <c r="N62" i="4"/>
  <c r="O62" i="4"/>
  <c r="N63" i="4"/>
  <c r="O63" i="4"/>
  <c r="O2" i="4"/>
  <c r="Y3" i="4" s="1"/>
  <c r="N2" i="4"/>
  <c r="Y2" i="4" s="1"/>
  <c r="A3" i="1"/>
  <c r="B3" i="1"/>
  <c r="C3" i="1"/>
  <c r="D3" i="1"/>
  <c r="E3" i="1"/>
  <c r="F3" i="1"/>
  <c r="G3" i="1"/>
  <c r="H3" i="1"/>
  <c r="I3" i="1"/>
  <c r="A4" i="1"/>
  <c r="B4" i="1"/>
  <c r="C4" i="1"/>
  <c r="D4" i="1"/>
  <c r="E4" i="1"/>
  <c r="F4" i="1"/>
  <c r="G4" i="1"/>
  <c r="H4" i="1"/>
  <c r="I4" i="1"/>
  <c r="A5" i="1"/>
  <c r="B5" i="1"/>
  <c r="C5" i="1"/>
  <c r="D5" i="1"/>
  <c r="E5" i="1"/>
  <c r="F5" i="1"/>
  <c r="G5" i="1"/>
  <c r="H5" i="1"/>
  <c r="I5" i="1"/>
  <c r="A6" i="1"/>
  <c r="B6" i="1"/>
  <c r="C6" i="1"/>
  <c r="D6" i="1"/>
  <c r="E6" i="1"/>
  <c r="F6" i="1"/>
  <c r="G6" i="1"/>
  <c r="H6" i="1"/>
  <c r="I6" i="1"/>
  <c r="A7" i="1"/>
  <c r="B7" i="1"/>
  <c r="C7" i="1"/>
  <c r="D7" i="1"/>
  <c r="E7" i="1"/>
  <c r="F7" i="1"/>
  <c r="G7" i="1"/>
  <c r="H7" i="1"/>
  <c r="I7" i="1"/>
  <c r="A8" i="1"/>
  <c r="B8" i="1"/>
  <c r="C8" i="1"/>
  <c r="D8" i="1"/>
  <c r="E8" i="1"/>
  <c r="F8" i="1"/>
  <c r="G8" i="1"/>
  <c r="H8" i="1"/>
  <c r="I8" i="1"/>
  <c r="A9" i="1"/>
  <c r="B9" i="1"/>
  <c r="C9" i="1"/>
  <c r="D9" i="1"/>
  <c r="E9" i="1"/>
  <c r="F9" i="1"/>
  <c r="G9" i="1"/>
  <c r="H9" i="1"/>
  <c r="I9" i="1"/>
  <c r="A10" i="1"/>
  <c r="B10" i="1"/>
  <c r="C10" i="1"/>
  <c r="D10" i="1"/>
  <c r="E10" i="1"/>
  <c r="F10" i="1"/>
  <c r="G10" i="1"/>
  <c r="H10" i="1"/>
  <c r="I10" i="1"/>
  <c r="A11" i="1"/>
  <c r="B11" i="1"/>
  <c r="C11" i="1"/>
  <c r="D11" i="1"/>
  <c r="E11" i="1"/>
  <c r="F11" i="1"/>
  <c r="G11" i="1"/>
  <c r="H11" i="1"/>
  <c r="I11" i="1"/>
  <c r="A12" i="1"/>
  <c r="B12" i="1"/>
  <c r="C12" i="1"/>
  <c r="D12" i="1"/>
  <c r="E12" i="1"/>
  <c r="F12" i="1"/>
  <c r="G12" i="1"/>
  <c r="H12" i="1"/>
  <c r="I12" i="1"/>
  <c r="A13" i="1"/>
  <c r="B13" i="1"/>
  <c r="C13" i="1"/>
  <c r="D13" i="1"/>
  <c r="E13" i="1"/>
  <c r="F13" i="1"/>
  <c r="G13" i="1"/>
  <c r="H13" i="1"/>
  <c r="I13" i="1"/>
  <c r="A14" i="1"/>
  <c r="B14" i="1"/>
  <c r="C14" i="1"/>
  <c r="D14" i="1"/>
  <c r="E14" i="1"/>
  <c r="F14" i="1"/>
  <c r="G14" i="1"/>
  <c r="H14" i="1"/>
  <c r="I14" i="1"/>
  <c r="A15" i="1"/>
  <c r="B15" i="1"/>
  <c r="C15" i="1"/>
  <c r="D15" i="1"/>
  <c r="E15" i="1"/>
  <c r="F15" i="1"/>
  <c r="G15" i="1"/>
  <c r="H15" i="1"/>
  <c r="I15" i="1"/>
  <c r="A16" i="1"/>
  <c r="B16" i="1"/>
  <c r="C16" i="1"/>
  <c r="D16" i="1"/>
  <c r="E16" i="1"/>
  <c r="F16" i="1"/>
  <c r="G16" i="1"/>
  <c r="H16" i="1"/>
  <c r="I16" i="1"/>
  <c r="A17" i="1"/>
  <c r="B17" i="1"/>
  <c r="C17" i="1"/>
  <c r="D17" i="1"/>
  <c r="E17" i="1"/>
  <c r="F17" i="1"/>
  <c r="G17" i="1"/>
  <c r="H17" i="1"/>
  <c r="I17" i="1"/>
  <c r="A18" i="1"/>
  <c r="B18" i="1"/>
  <c r="C18" i="1"/>
  <c r="D18" i="1"/>
  <c r="E18" i="1"/>
  <c r="F18" i="1"/>
  <c r="G18" i="1"/>
  <c r="H18" i="1"/>
  <c r="I18" i="1"/>
  <c r="A19" i="1"/>
  <c r="B19" i="1"/>
  <c r="C19" i="1"/>
  <c r="D19" i="1"/>
  <c r="E19" i="1"/>
  <c r="F19" i="1"/>
  <c r="G19" i="1"/>
  <c r="H19" i="1"/>
  <c r="I19" i="1"/>
  <c r="A20" i="1"/>
  <c r="B20" i="1"/>
  <c r="C20" i="1"/>
  <c r="D20" i="1"/>
  <c r="E20" i="1"/>
  <c r="F20" i="1"/>
  <c r="G20" i="1"/>
  <c r="H20" i="1"/>
  <c r="I20" i="1"/>
  <c r="A21" i="1"/>
  <c r="B21" i="1"/>
  <c r="C21" i="1"/>
  <c r="D21" i="1"/>
  <c r="E21" i="1"/>
  <c r="F21" i="1"/>
  <c r="G21" i="1"/>
  <c r="H21" i="1"/>
  <c r="I21" i="1"/>
  <c r="A22" i="1"/>
  <c r="B22" i="1"/>
  <c r="C22" i="1"/>
  <c r="D22" i="1"/>
  <c r="E22" i="1"/>
  <c r="F22" i="1"/>
  <c r="G22" i="1"/>
  <c r="H22" i="1"/>
  <c r="I22" i="1"/>
  <c r="A23" i="1"/>
  <c r="B23" i="1"/>
  <c r="C23" i="1"/>
  <c r="D23" i="1"/>
  <c r="E23" i="1"/>
  <c r="F23" i="1"/>
  <c r="G23" i="1"/>
  <c r="H23" i="1"/>
  <c r="I23" i="1"/>
  <c r="A24" i="1"/>
  <c r="B24" i="1"/>
  <c r="C24" i="1"/>
  <c r="D24" i="1"/>
  <c r="E24" i="1"/>
  <c r="F24" i="1"/>
  <c r="G24" i="1"/>
  <c r="H24" i="1"/>
  <c r="I24" i="1"/>
  <c r="A25" i="1"/>
  <c r="B25" i="1"/>
  <c r="C25" i="1"/>
  <c r="D25" i="1"/>
  <c r="E25" i="1"/>
  <c r="F25" i="1"/>
  <c r="G25" i="1"/>
  <c r="H25" i="1"/>
  <c r="I25" i="1"/>
  <c r="A26" i="1"/>
  <c r="B26" i="1"/>
  <c r="C26" i="1"/>
  <c r="D26" i="1"/>
  <c r="E26" i="1"/>
  <c r="F26" i="1"/>
  <c r="G26" i="1"/>
  <c r="H26" i="1"/>
  <c r="I26" i="1"/>
  <c r="A27" i="1"/>
  <c r="B27" i="1"/>
  <c r="C27" i="1"/>
  <c r="D27" i="1"/>
  <c r="E27" i="1"/>
  <c r="F27" i="1"/>
  <c r="G27" i="1"/>
  <c r="H27" i="1"/>
  <c r="I27" i="1"/>
  <c r="A28" i="1"/>
  <c r="B28" i="1"/>
  <c r="C28" i="1"/>
  <c r="D28" i="1"/>
  <c r="E28" i="1"/>
  <c r="F28" i="1"/>
  <c r="G28" i="1"/>
  <c r="H28" i="1"/>
  <c r="I28" i="1"/>
  <c r="A29" i="1"/>
  <c r="B29" i="1"/>
  <c r="C29" i="1"/>
  <c r="D29" i="1"/>
  <c r="E29" i="1"/>
  <c r="F29" i="1"/>
  <c r="G29" i="1"/>
  <c r="H29" i="1"/>
  <c r="I29" i="1"/>
  <c r="A30" i="1"/>
  <c r="B30" i="1"/>
  <c r="C30" i="1"/>
  <c r="D30" i="1"/>
  <c r="E30" i="1"/>
  <c r="F30" i="1"/>
  <c r="G30" i="1"/>
  <c r="H30" i="1"/>
  <c r="I30" i="1"/>
  <c r="A31" i="1"/>
  <c r="B31" i="1"/>
  <c r="C31" i="1"/>
  <c r="D31" i="1"/>
  <c r="E31" i="1"/>
  <c r="F31" i="1"/>
  <c r="G31" i="1"/>
  <c r="H31" i="1"/>
  <c r="I31" i="1"/>
  <c r="A32" i="1"/>
  <c r="B32" i="1"/>
  <c r="C32" i="1"/>
  <c r="D32" i="1"/>
  <c r="E32" i="1"/>
  <c r="F32" i="1"/>
  <c r="G32" i="1"/>
  <c r="H32" i="1"/>
  <c r="I32" i="1"/>
  <c r="A33" i="1"/>
  <c r="B33" i="1"/>
  <c r="C33" i="1"/>
  <c r="D33" i="1"/>
  <c r="E33" i="1"/>
  <c r="F33" i="1"/>
  <c r="G33" i="1"/>
  <c r="H33" i="1"/>
  <c r="I33" i="1"/>
  <c r="A34" i="1"/>
  <c r="B34" i="1"/>
  <c r="C34" i="1"/>
  <c r="D34" i="1"/>
  <c r="E34" i="1"/>
  <c r="F34" i="1"/>
  <c r="G34" i="1"/>
  <c r="H34" i="1"/>
  <c r="I34" i="1"/>
  <c r="A35" i="1"/>
  <c r="B35" i="1"/>
  <c r="C35" i="1"/>
  <c r="D35" i="1"/>
  <c r="E35" i="1"/>
  <c r="F35" i="1"/>
  <c r="G35" i="1"/>
  <c r="H35" i="1"/>
  <c r="I35" i="1"/>
  <c r="A36" i="1"/>
  <c r="B36" i="1"/>
  <c r="C36" i="1"/>
  <c r="D36" i="1"/>
  <c r="E36" i="1"/>
  <c r="F36" i="1"/>
  <c r="G36" i="1"/>
  <c r="H36" i="1"/>
  <c r="I36" i="1"/>
  <c r="A37" i="1"/>
  <c r="B37" i="1"/>
  <c r="C37" i="1"/>
  <c r="D37" i="1"/>
  <c r="E37" i="1"/>
  <c r="F37" i="1"/>
  <c r="G37" i="1"/>
  <c r="H37" i="1"/>
  <c r="I37" i="1"/>
  <c r="A38" i="1"/>
  <c r="B38" i="1"/>
  <c r="C38" i="1"/>
  <c r="D38" i="1"/>
  <c r="E38" i="1"/>
  <c r="F38" i="1"/>
  <c r="G38" i="1"/>
  <c r="H38" i="1"/>
  <c r="I38" i="1"/>
  <c r="A39" i="1"/>
  <c r="B39" i="1"/>
  <c r="C39" i="1"/>
  <c r="D39" i="1"/>
  <c r="E39" i="1"/>
  <c r="F39" i="1"/>
  <c r="G39" i="1"/>
  <c r="H39" i="1"/>
  <c r="I39" i="1"/>
  <c r="A40" i="1"/>
  <c r="B40" i="1"/>
  <c r="C40" i="1"/>
  <c r="D40" i="1"/>
  <c r="E40" i="1"/>
  <c r="F40" i="1"/>
  <c r="G40" i="1"/>
  <c r="H40" i="1"/>
  <c r="I40" i="1"/>
  <c r="A41" i="1"/>
  <c r="B41" i="1"/>
  <c r="C41" i="1"/>
  <c r="D41" i="1"/>
  <c r="E41" i="1"/>
  <c r="F41" i="1"/>
  <c r="G41" i="1"/>
  <c r="H41" i="1"/>
  <c r="I41" i="1"/>
  <c r="A42" i="1"/>
  <c r="B42" i="1"/>
  <c r="C42" i="1"/>
  <c r="D42" i="1"/>
  <c r="E42" i="1"/>
  <c r="F42" i="1"/>
  <c r="G42" i="1"/>
  <c r="H42" i="1"/>
  <c r="I42" i="1"/>
  <c r="A43" i="1"/>
  <c r="B43" i="1"/>
  <c r="C43" i="1"/>
  <c r="D43" i="1"/>
  <c r="E43" i="1"/>
  <c r="F43" i="1"/>
  <c r="G43" i="1"/>
  <c r="H43" i="1"/>
  <c r="I43" i="1"/>
  <c r="A44" i="1"/>
  <c r="B44" i="1"/>
  <c r="C44" i="1"/>
  <c r="D44" i="1"/>
  <c r="E44" i="1"/>
  <c r="F44" i="1"/>
  <c r="G44" i="1"/>
  <c r="H44" i="1"/>
  <c r="I44" i="1"/>
  <c r="A45" i="1"/>
  <c r="B45" i="1"/>
  <c r="C45" i="1"/>
  <c r="D45" i="1"/>
  <c r="E45" i="1"/>
  <c r="F45" i="1"/>
  <c r="G45" i="1"/>
  <c r="H45" i="1"/>
  <c r="I45" i="1"/>
  <c r="A46" i="1"/>
  <c r="B46" i="1"/>
  <c r="C46" i="1"/>
  <c r="D46" i="1"/>
  <c r="E46" i="1"/>
  <c r="F46" i="1"/>
  <c r="G46" i="1"/>
  <c r="H46" i="1"/>
  <c r="I46" i="1"/>
  <c r="A47" i="1"/>
  <c r="B47" i="1"/>
  <c r="C47" i="1"/>
  <c r="D47" i="1"/>
  <c r="E47" i="1"/>
  <c r="F47" i="1"/>
  <c r="G47" i="1"/>
  <c r="H47" i="1"/>
  <c r="I47" i="1"/>
  <c r="A48" i="1"/>
  <c r="B48" i="1"/>
  <c r="C48" i="1"/>
  <c r="D48" i="1"/>
  <c r="E48" i="1"/>
  <c r="F48" i="1"/>
  <c r="G48" i="1"/>
  <c r="H48" i="1"/>
  <c r="I48" i="1"/>
  <c r="A49" i="1"/>
  <c r="B49" i="1"/>
  <c r="C49" i="1"/>
  <c r="D49" i="1"/>
  <c r="E49" i="1"/>
  <c r="F49" i="1"/>
  <c r="G49" i="1"/>
  <c r="H49" i="1"/>
  <c r="I49" i="1"/>
  <c r="A50" i="1"/>
  <c r="B50" i="1"/>
  <c r="C50" i="1"/>
  <c r="D50" i="1"/>
  <c r="E50" i="1"/>
  <c r="F50" i="1"/>
  <c r="G50" i="1"/>
  <c r="H50" i="1"/>
  <c r="I50" i="1"/>
  <c r="A51" i="1"/>
  <c r="B51" i="1"/>
  <c r="C51" i="1"/>
  <c r="D51" i="1"/>
  <c r="E51" i="1"/>
  <c r="F51" i="1"/>
  <c r="G51" i="1"/>
  <c r="H51" i="1"/>
  <c r="I51" i="1"/>
  <c r="A52" i="1"/>
  <c r="B52" i="1"/>
  <c r="C52" i="1"/>
  <c r="D52" i="1"/>
  <c r="E52" i="1"/>
  <c r="F52" i="1"/>
  <c r="G52" i="1"/>
  <c r="H52" i="1"/>
  <c r="I52" i="1"/>
  <c r="A53" i="1"/>
  <c r="B53" i="1"/>
  <c r="C53" i="1"/>
  <c r="D53" i="1"/>
  <c r="E53" i="1"/>
  <c r="F53" i="1"/>
  <c r="G53" i="1"/>
  <c r="H53" i="1"/>
  <c r="I53" i="1"/>
  <c r="A54" i="1"/>
  <c r="B54" i="1"/>
  <c r="C54" i="1"/>
  <c r="D54" i="1"/>
  <c r="E54" i="1"/>
  <c r="F54" i="1"/>
  <c r="G54" i="1"/>
  <c r="H54" i="1"/>
  <c r="I54" i="1"/>
  <c r="A55" i="1"/>
  <c r="B55" i="1"/>
  <c r="C55" i="1"/>
  <c r="D55" i="1"/>
  <c r="E55" i="1"/>
  <c r="F55" i="1"/>
  <c r="G55" i="1"/>
  <c r="H55" i="1"/>
  <c r="I55" i="1"/>
  <c r="A56" i="1"/>
  <c r="B56" i="1"/>
  <c r="C56" i="1"/>
  <c r="D56" i="1"/>
  <c r="E56" i="1"/>
  <c r="F56" i="1"/>
  <c r="G56" i="1"/>
  <c r="H56" i="1"/>
  <c r="I56" i="1"/>
  <c r="A57" i="1"/>
  <c r="B57" i="1"/>
  <c r="C57" i="1"/>
  <c r="D57" i="1"/>
  <c r="E57" i="1"/>
  <c r="F57" i="1"/>
  <c r="G57" i="1"/>
  <c r="H57" i="1"/>
  <c r="I57" i="1"/>
  <c r="A58" i="1"/>
  <c r="B58" i="1"/>
  <c r="C58" i="1"/>
  <c r="D58" i="1"/>
  <c r="E58" i="1"/>
  <c r="F58" i="1"/>
  <c r="G58" i="1"/>
  <c r="H58" i="1"/>
  <c r="I58" i="1"/>
  <c r="A59" i="1"/>
  <c r="B59" i="1"/>
  <c r="C59" i="1"/>
  <c r="D59" i="1"/>
  <c r="E59" i="1"/>
  <c r="F59" i="1"/>
  <c r="G59" i="1"/>
  <c r="H59" i="1"/>
  <c r="I59" i="1"/>
  <c r="A60" i="1"/>
  <c r="B60" i="1"/>
  <c r="C60" i="1"/>
  <c r="D60" i="1"/>
  <c r="E60" i="1"/>
  <c r="F60" i="1"/>
  <c r="G60" i="1"/>
  <c r="H60" i="1"/>
  <c r="I60" i="1"/>
  <c r="A61" i="1"/>
  <c r="B61" i="1"/>
  <c r="C61" i="1"/>
  <c r="D61" i="1"/>
  <c r="E61" i="1"/>
  <c r="F61" i="1"/>
  <c r="G61" i="1"/>
  <c r="H61" i="1"/>
  <c r="I61" i="1"/>
  <c r="A62" i="1"/>
  <c r="B62" i="1"/>
  <c r="C62" i="1"/>
  <c r="D62" i="1"/>
  <c r="E62" i="1"/>
  <c r="F62" i="1"/>
  <c r="G62" i="1"/>
  <c r="H62" i="1"/>
  <c r="I62" i="1"/>
  <c r="A63" i="1"/>
  <c r="B63" i="1"/>
  <c r="C63" i="1"/>
  <c r="D63" i="1"/>
  <c r="E63" i="1"/>
  <c r="F63" i="1"/>
  <c r="G63" i="1"/>
  <c r="H63" i="1"/>
  <c r="I63" i="1"/>
  <c r="B2" i="1"/>
  <c r="C2" i="1"/>
  <c r="D2" i="1"/>
  <c r="E2" i="1"/>
  <c r="F2" i="1"/>
  <c r="G2" i="1"/>
  <c r="H2" i="1"/>
  <c r="I2" i="1"/>
  <c r="A2" i="1"/>
  <c r="N64" i="4" l="1"/>
  <c r="O64" i="4"/>
  <c r="U3" i="4"/>
  <c r="U2" i="4"/>
  <c r="U8" i="4"/>
  <c r="U7" i="4"/>
  <c r="E62" i="4"/>
  <c r="B60" i="4"/>
  <c r="E58" i="4"/>
  <c r="B56" i="4"/>
  <c r="E54" i="4"/>
  <c r="B52" i="4"/>
  <c r="E50" i="4"/>
  <c r="B48" i="4"/>
  <c r="E46" i="4"/>
  <c r="B44" i="4"/>
  <c r="E42" i="4"/>
  <c r="B40" i="4"/>
  <c r="E38" i="4"/>
  <c r="B36" i="4"/>
  <c r="E34" i="4"/>
  <c r="B32" i="4"/>
  <c r="E30" i="4"/>
  <c r="B28" i="4"/>
  <c r="E26" i="4"/>
  <c r="B24" i="4"/>
  <c r="E22" i="4"/>
  <c r="B20" i="4"/>
  <c r="E18" i="4"/>
  <c r="B16" i="4"/>
  <c r="E14" i="4"/>
  <c r="B12" i="4"/>
  <c r="E10" i="4"/>
  <c r="B8" i="4"/>
  <c r="E6" i="4"/>
  <c r="B4" i="4"/>
  <c r="G56" i="4"/>
  <c r="A56" i="4"/>
  <c r="D56" i="4"/>
  <c r="A52" i="4"/>
  <c r="D52" i="4"/>
  <c r="G52" i="4"/>
  <c r="D40" i="4"/>
  <c r="G40" i="4"/>
  <c r="A40" i="4"/>
  <c r="D36" i="4"/>
  <c r="G36" i="4"/>
  <c r="A36" i="4"/>
  <c r="D20" i="4"/>
  <c r="A20" i="4"/>
  <c r="G20" i="4"/>
  <c r="B2" i="4"/>
  <c r="B63" i="4"/>
  <c r="E61" i="4"/>
  <c r="G59" i="4"/>
  <c r="D59" i="4"/>
  <c r="A59" i="4"/>
  <c r="E57" i="4"/>
  <c r="D55" i="4"/>
  <c r="A55" i="4"/>
  <c r="G55" i="4"/>
  <c r="B51" i="4"/>
  <c r="B47" i="4"/>
  <c r="E45" i="4"/>
  <c r="D43" i="4"/>
  <c r="G43" i="4"/>
  <c r="A43" i="4"/>
  <c r="B39" i="4"/>
  <c r="E37" i="4"/>
  <c r="D35" i="4"/>
  <c r="G35" i="4"/>
  <c r="A35" i="4"/>
  <c r="E33" i="4"/>
  <c r="D31" i="4"/>
  <c r="A31" i="4"/>
  <c r="G31" i="4"/>
  <c r="B27" i="4"/>
  <c r="E25" i="4"/>
  <c r="D23" i="4"/>
  <c r="A23" i="4"/>
  <c r="G23" i="4"/>
  <c r="E21" i="4"/>
  <c r="D19" i="4"/>
  <c r="G19" i="4"/>
  <c r="A19" i="4"/>
  <c r="E17" i="4"/>
  <c r="D15" i="4"/>
  <c r="G15" i="4"/>
  <c r="A15" i="4"/>
  <c r="B11" i="4"/>
  <c r="E9" i="4"/>
  <c r="D7" i="4"/>
  <c r="G7" i="4"/>
  <c r="A7" i="4"/>
  <c r="E5" i="4"/>
  <c r="D3" i="4"/>
  <c r="G3" i="4"/>
  <c r="A3" i="4"/>
  <c r="E2" i="4"/>
  <c r="AD63" i="4"/>
  <c r="E63" i="4"/>
  <c r="B61" i="4"/>
  <c r="H61" i="4" s="1"/>
  <c r="G61" i="4"/>
  <c r="A61" i="4"/>
  <c r="D61" i="4"/>
  <c r="E59" i="4"/>
  <c r="B57" i="4"/>
  <c r="G57" i="4"/>
  <c r="A57" i="4"/>
  <c r="D57" i="4"/>
  <c r="E55" i="4"/>
  <c r="B53" i="4"/>
  <c r="G53" i="4"/>
  <c r="A53" i="4"/>
  <c r="D53" i="4"/>
  <c r="E51" i="4"/>
  <c r="B49" i="4"/>
  <c r="G49" i="4"/>
  <c r="A49" i="4"/>
  <c r="D49" i="4"/>
  <c r="E47" i="4"/>
  <c r="B45" i="4"/>
  <c r="G45" i="4"/>
  <c r="D45" i="4"/>
  <c r="A45" i="4"/>
  <c r="E43" i="4"/>
  <c r="B41" i="4"/>
  <c r="G41" i="4"/>
  <c r="D41" i="4"/>
  <c r="A41" i="4"/>
  <c r="E39" i="4"/>
  <c r="B37" i="4"/>
  <c r="G37" i="4"/>
  <c r="D37" i="4"/>
  <c r="A37" i="4"/>
  <c r="E35" i="4"/>
  <c r="B33" i="4"/>
  <c r="H33" i="4" s="1"/>
  <c r="G33" i="4"/>
  <c r="D33" i="4"/>
  <c r="A33" i="4"/>
  <c r="E31" i="4"/>
  <c r="B29" i="4"/>
  <c r="G29" i="4"/>
  <c r="D29" i="4"/>
  <c r="A29" i="4"/>
  <c r="E27" i="4"/>
  <c r="B25" i="4"/>
  <c r="G25" i="4"/>
  <c r="D25" i="4"/>
  <c r="A25" i="4"/>
  <c r="E23" i="4"/>
  <c r="B21" i="4"/>
  <c r="G21" i="4"/>
  <c r="D21" i="4"/>
  <c r="A21" i="4"/>
  <c r="E19" i="4"/>
  <c r="B17" i="4"/>
  <c r="G17" i="4"/>
  <c r="D17" i="4"/>
  <c r="A17" i="4"/>
  <c r="E15" i="4"/>
  <c r="B13" i="4"/>
  <c r="G13" i="4"/>
  <c r="D13" i="4"/>
  <c r="A13" i="4"/>
  <c r="E11" i="4"/>
  <c r="B9" i="4"/>
  <c r="G9" i="4"/>
  <c r="D9" i="4"/>
  <c r="A9" i="4"/>
  <c r="E7" i="4"/>
  <c r="B5" i="4"/>
  <c r="G5" i="4"/>
  <c r="D5" i="4"/>
  <c r="A5" i="4"/>
  <c r="E3" i="4"/>
  <c r="G60" i="4"/>
  <c r="D60" i="4"/>
  <c r="A60" i="4"/>
  <c r="G48" i="4"/>
  <c r="A48" i="4"/>
  <c r="D48" i="4"/>
  <c r="D44" i="4"/>
  <c r="A44" i="4"/>
  <c r="G44" i="4"/>
  <c r="G32" i="4"/>
  <c r="D32" i="4"/>
  <c r="A32" i="4"/>
  <c r="D28" i="4"/>
  <c r="G28" i="4"/>
  <c r="A28" i="4"/>
  <c r="D24" i="4"/>
  <c r="G24" i="4"/>
  <c r="A24" i="4"/>
  <c r="G16" i="4"/>
  <c r="D16" i="4"/>
  <c r="A16" i="4"/>
  <c r="D12" i="4"/>
  <c r="A12" i="4"/>
  <c r="G12" i="4"/>
  <c r="D8" i="4"/>
  <c r="G8" i="4"/>
  <c r="A8" i="4"/>
  <c r="D4" i="4"/>
  <c r="G4" i="4"/>
  <c r="A4" i="4"/>
  <c r="G2" i="4"/>
  <c r="D2" i="4"/>
  <c r="A2" i="4"/>
  <c r="D63" i="4"/>
  <c r="A63" i="4"/>
  <c r="G63" i="4"/>
  <c r="AC63" i="4"/>
  <c r="B59" i="4"/>
  <c r="B55" i="4"/>
  <c r="H55" i="4" s="1"/>
  <c r="E53" i="4"/>
  <c r="G51" i="4"/>
  <c r="D51" i="4"/>
  <c r="A51" i="4"/>
  <c r="E49" i="4"/>
  <c r="G47" i="4"/>
  <c r="A47" i="4"/>
  <c r="D47" i="4"/>
  <c r="B43" i="4"/>
  <c r="E41" i="4"/>
  <c r="D39" i="4"/>
  <c r="G39" i="4"/>
  <c r="A39" i="4"/>
  <c r="B35" i="4"/>
  <c r="B31" i="4"/>
  <c r="E29" i="4"/>
  <c r="D27" i="4"/>
  <c r="G27" i="4"/>
  <c r="A27" i="4"/>
  <c r="B23" i="4"/>
  <c r="H23" i="4" s="1"/>
  <c r="B19" i="4"/>
  <c r="B15" i="4"/>
  <c r="E13" i="4"/>
  <c r="D11" i="4"/>
  <c r="G11" i="4"/>
  <c r="A11" i="4"/>
  <c r="B7" i="4"/>
  <c r="B3" i="4"/>
  <c r="B62" i="4"/>
  <c r="H62" i="4" s="1"/>
  <c r="A62" i="4"/>
  <c r="G62" i="4"/>
  <c r="D62" i="4"/>
  <c r="E60" i="4"/>
  <c r="H60" i="4" s="1"/>
  <c r="B58" i="4"/>
  <c r="A58" i="4"/>
  <c r="G58" i="4"/>
  <c r="D58" i="4"/>
  <c r="E56" i="4"/>
  <c r="B54" i="4"/>
  <c r="G54" i="4"/>
  <c r="A54" i="4"/>
  <c r="D54" i="4"/>
  <c r="E52" i="4"/>
  <c r="H52" i="4" s="1"/>
  <c r="B50" i="4"/>
  <c r="A50" i="4"/>
  <c r="G50" i="4"/>
  <c r="D50" i="4"/>
  <c r="E48" i="4"/>
  <c r="B46" i="4"/>
  <c r="H46" i="4" s="1"/>
  <c r="A46" i="4"/>
  <c r="G46" i="4"/>
  <c r="D46" i="4"/>
  <c r="E44" i="4"/>
  <c r="H44" i="4" s="1"/>
  <c r="B42" i="4"/>
  <c r="A42" i="4"/>
  <c r="D42" i="4"/>
  <c r="G42" i="4"/>
  <c r="E40" i="4"/>
  <c r="B38" i="4"/>
  <c r="G38" i="4"/>
  <c r="A38" i="4"/>
  <c r="D38" i="4"/>
  <c r="E36" i="4"/>
  <c r="H36" i="4" s="1"/>
  <c r="B34" i="4"/>
  <c r="A34" i="4"/>
  <c r="D34" i="4"/>
  <c r="G34" i="4"/>
  <c r="E32" i="4"/>
  <c r="B30" i="4"/>
  <c r="H30" i="4" s="1"/>
  <c r="A30" i="4"/>
  <c r="G30" i="4"/>
  <c r="D30" i="4"/>
  <c r="E28" i="4"/>
  <c r="H28" i="4" s="1"/>
  <c r="B26" i="4"/>
  <c r="H26" i="4" s="1"/>
  <c r="A26" i="4"/>
  <c r="G26" i="4"/>
  <c r="D26" i="4"/>
  <c r="E24" i="4"/>
  <c r="B22" i="4"/>
  <c r="G22" i="4"/>
  <c r="A22" i="4"/>
  <c r="D22" i="4"/>
  <c r="E20" i="4"/>
  <c r="H20" i="4" s="1"/>
  <c r="B18" i="4"/>
  <c r="A18" i="4"/>
  <c r="G18" i="4"/>
  <c r="D18" i="4"/>
  <c r="E16" i="4"/>
  <c r="B14" i="4"/>
  <c r="H14" i="4" s="1"/>
  <c r="A14" i="4"/>
  <c r="G14" i="4"/>
  <c r="D14" i="4"/>
  <c r="E12" i="4"/>
  <c r="H12" i="4" s="1"/>
  <c r="B10" i="4"/>
  <c r="A10" i="4"/>
  <c r="G10" i="4"/>
  <c r="D10" i="4"/>
  <c r="E8" i="4"/>
  <c r="B6" i="4"/>
  <c r="G6" i="4"/>
  <c r="A6" i="4"/>
  <c r="D6" i="4"/>
  <c r="E4" i="4"/>
  <c r="H4" i="4" s="1"/>
  <c r="H10" i="4" l="1"/>
  <c r="H42" i="4"/>
  <c r="H15" i="4"/>
  <c r="H58" i="4"/>
  <c r="U4" i="4"/>
  <c r="V3" i="4" s="1"/>
  <c r="H9" i="4"/>
  <c r="H18" i="4"/>
  <c r="H34" i="4"/>
  <c r="H50" i="4"/>
  <c r="H5" i="4"/>
  <c r="H6" i="4"/>
  <c r="H22" i="4"/>
  <c r="H38" i="4"/>
  <c r="H54" i="4"/>
  <c r="H7" i="4"/>
  <c r="H45" i="4"/>
  <c r="H37" i="4"/>
  <c r="H31" i="4"/>
  <c r="H21" i="4"/>
  <c r="H39" i="4"/>
  <c r="H2" i="4"/>
  <c r="H13" i="4"/>
  <c r="H8" i="4"/>
  <c r="H24" i="4"/>
  <c r="H40" i="4"/>
  <c r="H56" i="4"/>
  <c r="H35" i="4"/>
  <c r="H53" i="4"/>
  <c r="H16" i="4"/>
  <c r="H32" i="4"/>
  <c r="H48" i="4"/>
  <c r="H3" i="4"/>
  <c r="H29" i="4"/>
  <c r="H11" i="4"/>
  <c r="H51" i="4"/>
  <c r="H19" i="4"/>
  <c r="H43" i="4"/>
  <c r="H17" i="4"/>
  <c r="H49" i="4"/>
  <c r="H27" i="4"/>
  <c r="H63" i="4"/>
  <c r="H59" i="4"/>
  <c r="H25" i="4"/>
  <c r="H41" i="4"/>
  <c r="H57" i="4"/>
  <c r="H47" i="4"/>
  <c r="V2" i="4" l="1"/>
</calcChain>
</file>

<file path=xl/sharedStrings.xml><?xml version="1.0" encoding="utf-8"?>
<sst xmlns="http://schemas.openxmlformats.org/spreadsheetml/2006/main" count="500" uniqueCount="126">
  <si>
    <t>序号</t>
    <phoneticPr fontId="0" type="noConversion"/>
  </si>
  <si>
    <t>日期</t>
    <phoneticPr fontId="0" type="noConversion"/>
  </si>
  <si>
    <t>工班</t>
    <phoneticPr fontId="0" type="noConversion"/>
  </si>
  <si>
    <t>当班人1</t>
    <phoneticPr fontId="0" type="noConversion"/>
  </si>
  <si>
    <t>当班人2</t>
    <phoneticPr fontId="0" type="noConversion"/>
  </si>
  <si>
    <t>发电机1当前工班发电量</t>
    <phoneticPr fontId="0" type="noConversion"/>
  </si>
  <si>
    <t>发电机2当前工班发电量</t>
  </si>
  <si>
    <t>当前工班发电机沼气消耗量</t>
    <phoneticPr fontId="0" type="noConversion"/>
  </si>
  <si>
    <t>当前工班火炬沼气消耗量</t>
    <phoneticPr fontId="0" type="noConversion"/>
  </si>
  <si>
    <t>ReportId</t>
  </si>
  <si>
    <t>90301987-0112-4133-ac4a-0ff0f89039f3</t>
  </si>
  <si>
    <t>YearMonth</t>
  </si>
  <si>
    <t>BeginTime</t>
  </si>
  <si>
    <t>EndTime</t>
  </si>
  <si>
    <t>CreateTime</t>
  </si>
  <si>
    <t>IsFileCreated</t>
  </si>
  <si>
    <t>FilePath</t>
  </si>
  <si>
    <t>(D:\MonthlyReport\MonthlyReport-2017-01.xlsx, True)</t>
  </si>
  <si>
    <t>FileCreateTime</t>
  </si>
  <si>
    <t>Status</t>
  </si>
  <si>
    <t>A</t>
  </si>
  <si>
    <t>ShiftId</t>
  </si>
  <si>
    <t>256be24e-23ba-4424-8d76-54372ac5aff0</t>
  </si>
  <si>
    <t>61bb5f6c-2e4d-4d15-80a7-89e90d9ab344</t>
  </si>
  <si>
    <t>dd47f788-587b-4394-bb36-f9523e2f2fce</t>
  </si>
  <si>
    <t>e5808d41-7876-4467-9208-9849e59ec1a2</t>
  </si>
  <si>
    <t>37b89b8d-806b-40a5-b3bd-a1126aa8cb6c</t>
  </si>
  <si>
    <t>b1fcd808-1734-486b-9d86-73f4463f788e</t>
  </si>
  <si>
    <t>0d8ac613-a2cf-4c86-9b5e-13e8651b3e93</t>
  </si>
  <si>
    <t>945d6849-a370-411c-b9a0-f58859145e56</t>
  </si>
  <si>
    <t>ee041e88-331a-4688-a413-2a2a1690394b</t>
  </si>
  <si>
    <t>6d70a063-698f-424b-bc2f-de84f04e791c</t>
  </si>
  <si>
    <t>eb3ac01d-77e8-460a-a363-1a61ef55245a</t>
  </si>
  <si>
    <t>b50e6754-5a4b-4db3-b4ec-4f30de6c9e3e</t>
  </si>
  <si>
    <t>4b5dfe11-c355-4cf0-b13e-53e88cc26b84</t>
  </si>
  <si>
    <t>39242b8b-4ebb-48de-89d7-57e995f70f88</t>
  </si>
  <si>
    <t>579dac14-abd1-4248-b417-e43c3ca06222</t>
  </si>
  <si>
    <t>ab285bda-a829-4948-bfbf-f42ee249ed05</t>
  </si>
  <si>
    <t>a1fad9f8-c13c-4b16-b42d-2decf88a35dd</t>
  </si>
  <si>
    <t>6768cc4a-4689-4f3a-8d6c-7ff07e1f900d</t>
  </si>
  <si>
    <t>5300db87-e83c-47af-97af-97fea05a82e1</t>
  </si>
  <si>
    <t>724b259a-5599-46b8-90b0-c013ca0828c6</t>
  </si>
  <si>
    <t>4e519297-461d-42f1-a6d2-9d00e0a7c977</t>
  </si>
  <si>
    <t>f62b4d24-e7ec-4f88-b088-68ff9bf46509</t>
  </si>
  <si>
    <t>da34b8d0-e43d-4ee8-bef3-3ed7afe01c3d</t>
  </si>
  <si>
    <t>4365bd27-f84e-482e-ad20-d7cb90d0469a</t>
  </si>
  <si>
    <t>b09c94a1-3c25-44ec-8e85-a1de890ec1f8</t>
  </si>
  <si>
    <t>df2b0559-74fa-4bae-9099-b5d82a990bf0</t>
  </si>
  <si>
    <t>ecf7eaba-e069-4ab3-ab63-425489c6338c</t>
  </si>
  <si>
    <t>93b0c317-c10f-4f0d-8ff3-36aa2337799a</t>
  </si>
  <si>
    <t>3e75ef3f-ceb1-4170-b0e1-3e6e1e349c3c</t>
  </si>
  <si>
    <t>3931bf83-2ae1-4b81-8726-84c3b37786f9</t>
  </si>
  <si>
    <t>1b2a567a-8759-4175-b46a-1a83fc188c37</t>
  </si>
  <si>
    <t>9798defb-0d87-4393-a603-61420893336b</t>
  </si>
  <si>
    <t>3a8b07bf-f96a-41b6-8b1d-73c421a4dc27</t>
  </si>
  <si>
    <t>158434c1-cd89-4409-b899-84faf93c36b3</t>
  </si>
  <si>
    <t>d76a6395-9739-468d-83ae-b9fa45f4ee0e</t>
  </si>
  <si>
    <t>b1fbe4ca-b102-4eb5-a64d-f83a8f82a1ae</t>
  </si>
  <si>
    <t>9b4dfe40-af02-40ec-bae7-b265cf399ff2</t>
  </si>
  <si>
    <t>b45fccbd-f7a8-4336-be05-c9caa09f6cd2</t>
  </si>
  <si>
    <t>93546ea2-9070-4df3-b1bc-311e64855e6e</t>
  </si>
  <si>
    <t>39b57b67-c9c8-4a5e-bb0a-48e6aa3287fb</t>
  </si>
  <si>
    <t>7af9f76c-8996-4ca3-8973-36ccd0073e91</t>
  </si>
  <si>
    <t>192e81ac-8734-4ad6-b4a0-2aced3f1e1fe</t>
  </si>
  <si>
    <t>e1ebfcb4-2e9b-46ce-8d76-f5573e285aa4</t>
  </si>
  <si>
    <t>e66a6b85-4ad7-424a-aecd-4960d8743dfb</t>
  </si>
  <si>
    <t>5a4d58b2-e2b8-4e08-9cfa-a198d1927024</t>
  </si>
  <si>
    <t>f4441d0b-13b4-4dd2-be54-c45342221ff1</t>
  </si>
  <si>
    <t>59b3028b-409d-4e2c-aedf-af4b609551e0</t>
  </si>
  <si>
    <t>05fec5ee-2313-44eb-bee3-d711d685f799</t>
  </si>
  <si>
    <t>268f473f-1d0b-40b2-b873-1bc5162e4066</t>
  </si>
  <si>
    <t>706a00d7-c07f-47da-9f7f-d08c41466257</t>
  </si>
  <si>
    <t>7f3bebac-d622-4cab-9182-fea83dd46f2e</t>
  </si>
  <si>
    <t>4a60eb28-2ca3-4d3f-9071-1f2ec653abea</t>
  </si>
  <si>
    <t>192d4bb3-760a-48e2-9cea-0b44788cc075</t>
  </si>
  <si>
    <t>e4ab8171-6b15-41f4-92a7-23ce054bf6c4</t>
  </si>
  <si>
    <t>b3184c3f-97da-4bef-be2d-85f3deb1774b</t>
  </si>
  <si>
    <t>a21b8f2e-c3d0-430a-9ac6-d1d6c7c4abc4</t>
  </si>
  <si>
    <t>e02a0de8-4253-49d8-9644-0ec878b7c24d</t>
  </si>
  <si>
    <t>4a318e88-fbdc-476b-9f69-74db0d20dc68</t>
  </si>
  <si>
    <t>51fee430-cd31-42e8-acc2-9b769e95a8d9</t>
  </si>
  <si>
    <t>186395a8-10e6-44c9-8063-68f8fc423c93</t>
  </si>
  <si>
    <t>c01e306b-1aab-4694-a0bf-c53f94e46100</t>
  </si>
  <si>
    <t>Day</t>
  </si>
  <si>
    <t>Hour</t>
  </si>
  <si>
    <t>ActualBeginTime</t>
  </si>
  <si>
    <t>LastUpdateTime</t>
  </si>
  <si>
    <t>LoginId</t>
  </si>
  <si>
    <t>LoginName</t>
  </si>
  <si>
    <t>肖斌</t>
  </si>
  <si>
    <t>何林森</t>
  </si>
  <si>
    <t>夏毅超</t>
  </si>
  <si>
    <t>刘家豪</t>
  </si>
  <si>
    <t>陈晓冬</t>
  </si>
  <si>
    <t>迪永乐</t>
  </si>
  <si>
    <t>张松</t>
  </si>
  <si>
    <t>黄雁斌</t>
  </si>
  <si>
    <t>王健</t>
  </si>
  <si>
    <t>Row</t>
  </si>
  <si>
    <t>Shift</t>
  </si>
  <si>
    <t>Worker1</t>
  </si>
  <si>
    <t>Worker2</t>
  </si>
  <si>
    <t>EnergyProduction1</t>
  </si>
  <si>
    <t>EnergyProduction2</t>
  </si>
  <si>
    <t>Biogas2GenSubtotal</t>
  </si>
  <si>
    <t>Biogas2TorchSubtotal</t>
  </si>
  <si>
    <t>工班</t>
  </si>
  <si>
    <t>发电量</t>
  </si>
  <si>
    <t>沼气量</t>
  </si>
  <si>
    <t>消耗比</t>
  </si>
  <si>
    <t>Worker</t>
  </si>
  <si>
    <t>Power</t>
  </si>
  <si>
    <t>Sum of Power</t>
  </si>
  <si>
    <t>Hours</t>
  </si>
  <si>
    <t>Sum of Hours</t>
  </si>
  <si>
    <t>Generator</t>
  </si>
  <si>
    <t>Gas</t>
  </si>
  <si>
    <t>Total</t>
  </si>
  <si>
    <t>Percent</t>
  </si>
  <si>
    <t>Work Time</t>
  </si>
  <si>
    <t>SubtotalRuntime1</t>
  </si>
  <si>
    <t>SubtotalRuntime2</t>
  </si>
  <si>
    <t>SubtotalRuntime1</t>
    <phoneticPr fontId="2" type="noConversion"/>
  </si>
  <si>
    <t>SubtotalRuntime2</t>
    <phoneticPr fontId="2" type="noConversion"/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</si>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</sst>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1" fillId="2" borderId="1" xfId="1" applyBorder="1" applyAlignment="1">
      <alignment horizontal="center" vertical="center"/>
    </xf>
    <xf numFmtId="0" fontId="1" fillId="2" borderId="1" xfId="1" applyBorder="1" applyAlignment="1">
      <alignment horizontal="center" vertical="center" wrapText="1"/>
    </xf>
    <xf numFmtId="0" fontId="0" fillId="0" borderId="1" xfId="0" applyBorder="1"/>
    <xf numFmtId="14" fontId="0" fillId="0" borderId="1" xfId="0" applyNumberFormat="1" applyBorder="1"/>
    <xf numFmtId="49" fontId="0" fillId="0" borderId="1" xfId="0" applyNumberFormat="1" applyBorder="1"/>
    <xf numFmtId="1" fontId="0" fillId="0" borderId="1" xfId="0" applyNumberFormat="1" applyBorder="1"/>
    <xf numFmtId="22" fontId="0" fillId="0" borderId="0" xfId="0" applyNumberFormat="1"/>
    <xf numFmtId="11" fontId="0" fillId="0" borderId="0" xfId="0" applyNumberFormat="1"/>
    <xf numFmtId="14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1" xfId="0" applyNumberFormat="1" applyBorder="1"/>
    <xf numFmtId="0" fontId="0" fillId="0" borderId="1" xfId="0" pivotButton="1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3" fillId="0" borderId="1" xfId="0" applyFont="1" applyBorder="1"/>
  </cellXfs>
  <cellStyles count="2">
    <cellStyle name="Accent1" xfId="1" builtinId="29"/>
    <cellStyle name="Normal" xfId="0" builtinId="0"/>
  </cellStyles>
  <dxfs count="5">
    <dxf/>
    <dxf/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发电量月报表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ForReport!$B$1</c:f>
              <c:strCache>
                <c:ptCount val="1"/>
                <c:pt idx="0">
                  <c:v>发电量</c:v>
                </c:pt>
              </c:strCache>
            </c:strRef>
          </c:tx>
          <c:marker>
            <c:symbol val="none"/>
          </c:marker>
          <c:cat>
            <c:strRef>
              <c:f>ForReport!$A$2:$A$62</c:f>
              <c:strCache>
                <c:ptCount val="61"/>
                <c:pt idx="0">
                  <c:v>1/01-Day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</c:strCache>
            </c:strRef>
          </c:cat>
          <c:val>
            <c:numRef>
              <c:f>ForReport!$B$2:$B$62</c:f>
              <c:numCache>
                <c:formatCode>0</c:formatCode>
                <c:ptCount val="61"/>
                <c:pt idx="0">
                  <c:v>18463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41888"/>
        <c:axId val="86364672"/>
      </c:lineChart>
      <c:catAx>
        <c:axId val="135141888"/>
        <c:scaling>
          <c:orientation val="minMax"/>
        </c:scaling>
        <c:delete val="0"/>
        <c:axPos val="b"/>
        <c:majorTickMark val="out"/>
        <c:minorTickMark val="none"/>
        <c:tickLblPos val="nextTo"/>
        <c:crossAx val="86364672"/>
        <c:crosses val="autoZero"/>
        <c:auto val="1"/>
        <c:lblAlgn val="ctr"/>
        <c:lblOffset val="100"/>
        <c:noMultiLvlLbl val="0"/>
      </c:catAx>
      <c:valAx>
        <c:axId val="8636467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5141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沼气量消耗月报表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ForReport!$E$1</c:f>
              <c:strCache>
                <c:ptCount val="1"/>
                <c:pt idx="0">
                  <c:v>沼气量</c:v>
                </c:pt>
              </c:strCache>
            </c:strRef>
          </c:tx>
          <c:marker>
            <c:symbol val="none"/>
          </c:marker>
          <c:cat>
            <c:strRef>
              <c:f>ForReport!$D$2:$D$62</c:f>
              <c:strCache>
                <c:ptCount val="61"/>
                <c:pt idx="0">
                  <c:v>1/01-Day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</c:strCache>
            </c:strRef>
          </c:cat>
          <c:val>
            <c:numRef>
              <c:f>ForReport!$E$2:$E$62</c:f>
              <c:numCache>
                <c:formatCode>0</c:formatCode>
                <c:ptCount val="61"/>
                <c:pt idx="0">
                  <c:v>9431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54240"/>
        <c:axId val="86366400"/>
      </c:lineChart>
      <c:catAx>
        <c:axId val="135754240"/>
        <c:scaling>
          <c:orientation val="minMax"/>
        </c:scaling>
        <c:delete val="0"/>
        <c:axPos val="b"/>
        <c:majorTickMark val="out"/>
        <c:minorTickMark val="none"/>
        <c:tickLblPos val="nextTo"/>
        <c:crossAx val="86366400"/>
        <c:crosses val="autoZero"/>
        <c:auto val="1"/>
        <c:lblAlgn val="ctr"/>
        <c:lblOffset val="100"/>
        <c:noMultiLvlLbl val="0"/>
      </c:catAx>
      <c:valAx>
        <c:axId val="863664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35754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沼气发电消耗比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ForReport!$H$1</c:f>
              <c:strCache>
                <c:ptCount val="1"/>
                <c:pt idx="0">
                  <c:v>消耗比</c:v>
                </c:pt>
              </c:strCache>
            </c:strRef>
          </c:tx>
          <c:marker>
            <c:symbol val="none"/>
          </c:marker>
          <c:cat>
            <c:strRef>
              <c:f>ForReport!$G$2:$G$62</c:f>
              <c:strCache>
                <c:ptCount val="61"/>
                <c:pt idx="0">
                  <c:v>1/01-Day</c:v>
                </c:pt>
                <c:pt idx="1">
                  <c:v>-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-</c:v>
                </c:pt>
                <c:pt idx="11">
                  <c:v>-</c:v>
                </c:pt>
                <c:pt idx="12">
                  <c:v>-</c:v>
                </c:pt>
                <c:pt idx="13">
                  <c:v>-</c:v>
                </c:pt>
                <c:pt idx="14">
                  <c:v>-</c:v>
                </c:pt>
                <c:pt idx="15">
                  <c:v>-</c:v>
                </c:pt>
                <c:pt idx="16">
                  <c:v>-</c:v>
                </c:pt>
                <c:pt idx="17">
                  <c:v>-</c:v>
                </c:pt>
                <c:pt idx="18">
                  <c:v>-</c:v>
                </c:pt>
                <c:pt idx="19">
                  <c:v>-</c:v>
                </c:pt>
                <c:pt idx="20">
                  <c:v>-</c:v>
                </c:pt>
                <c:pt idx="21">
                  <c:v>-</c:v>
                </c:pt>
                <c:pt idx="22">
                  <c:v>-</c:v>
                </c:pt>
                <c:pt idx="23">
                  <c:v>-</c:v>
                </c:pt>
                <c:pt idx="24">
                  <c:v>-</c:v>
                </c:pt>
                <c:pt idx="25">
                  <c:v>-</c:v>
                </c:pt>
                <c:pt idx="26">
                  <c:v>-</c:v>
                </c:pt>
                <c:pt idx="27">
                  <c:v>-</c:v>
                </c:pt>
                <c:pt idx="28">
                  <c:v>-</c:v>
                </c:pt>
                <c:pt idx="29">
                  <c:v>-</c:v>
                </c:pt>
                <c:pt idx="30">
                  <c:v>-</c:v>
                </c:pt>
                <c:pt idx="31">
                  <c:v>-</c:v>
                </c:pt>
                <c:pt idx="32">
                  <c:v>-</c:v>
                </c:pt>
                <c:pt idx="33">
                  <c:v>-</c:v>
                </c:pt>
                <c:pt idx="34">
                  <c:v>-</c:v>
                </c:pt>
                <c:pt idx="35">
                  <c:v>-</c:v>
                </c:pt>
                <c:pt idx="36">
                  <c:v>-</c:v>
                </c:pt>
                <c:pt idx="37">
                  <c:v>-</c:v>
                </c:pt>
                <c:pt idx="38">
                  <c:v>-</c:v>
                </c:pt>
                <c:pt idx="39">
                  <c:v>-</c:v>
                </c:pt>
                <c:pt idx="40">
                  <c:v>-</c:v>
                </c:pt>
                <c:pt idx="41">
                  <c:v>-</c:v>
                </c:pt>
                <c:pt idx="42">
                  <c:v>-</c:v>
                </c:pt>
                <c:pt idx="43">
                  <c:v>-</c:v>
                </c:pt>
                <c:pt idx="44">
                  <c:v>-</c:v>
                </c:pt>
                <c:pt idx="45">
                  <c:v>-</c:v>
                </c:pt>
                <c:pt idx="46">
                  <c:v>-</c:v>
                </c:pt>
                <c:pt idx="47">
                  <c:v>-</c:v>
                </c:pt>
                <c:pt idx="48">
                  <c:v>-</c:v>
                </c:pt>
                <c:pt idx="49">
                  <c:v>-</c:v>
                </c:pt>
                <c:pt idx="50">
                  <c:v>-</c:v>
                </c:pt>
                <c:pt idx="51">
                  <c:v>-</c:v>
                </c:pt>
                <c:pt idx="52">
                  <c:v>-</c:v>
                </c:pt>
                <c:pt idx="53">
                  <c:v>-</c:v>
                </c:pt>
                <c:pt idx="54">
                  <c:v>-</c:v>
                </c:pt>
                <c:pt idx="55">
                  <c:v>-</c:v>
                </c:pt>
                <c:pt idx="56">
                  <c:v>-</c:v>
                </c:pt>
                <c:pt idx="57">
                  <c:v>-</c:v>
                </c:pt>
                <c:pt idx="58">
                  <c:v>-</c:v>
                </c:pt>
                <c:pt idx="59">
                  <c:v>-</c:v>
                </c:pt>
                <c:pt idx="60">
                  <c:v>-</c:v>
                </c:pt>
              </c:strCache>
            </c:strRef>
          </c:cat>
          <c:val>
            <c:numRef>
              <c:f>ForReport!$H$2:$H$62</c:f>
              <c:numCache>
                <c:formatCode>General</c:formatCode>
                <c:ptCount val="61"/>
                <c:pt idx="0">
                  <c:v>1.9576927155126709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756288"/>
        <c:axId val="136011776"/>
      </c:lineChart>
      <c:catAx>
        <c:axId val="135756288"/>
        <c:scaling>
          <c:orientation val="minMax"/>
        </c:scaling>
        <c:delete val="0"/>
        <c:axPos val="b"/>
        <c:majorTickMark val="out"/>
        <c:minorTickMark val="none"/>
        <c:tickLblPos val="nextTo"/>
        <c:crossAx val="136011776"/>
        <c:crosses val="autoZero"/>
        <c:auto val="1"/>
        <c:lblAlgn val="ctr"/>
        <c:lblOffset val="100"/>
        <c:noMultiLvlLbl val="0"/>
      </c:catAx>
      <c:valAx>
        <c:axId val="1360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7562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发电机发电量比</a:t>
            </a:r>
            <a:endParaRPr lang="en-US"/>
          </a:p>
        </c:rich>
      </c:tx>
      <c:layout/>
      <c:overlay val="0"/>
    </c:title>
    <c:autoTitleDeleted val="0"/>
    <c:view3D>
      <c:rotX val="75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ForReport!$V$1</c:f>
              <c:strCache>
                <c:ptCount val="1"/>
                <c:pt idx="0">
                  <c:v>Percent</c:v>
                </c:pt>
              </c:strCache>
            </c:strRef>
          </c:tx>
          <c:explosion val="25"/>
          <c:val>
            <c:numRef>
              <c:f>ForReport!$V$2:$V$3</c:f>
              <c:numCache>
                <c:formatCode>0.00%</c:formatCode>
                <c:ptCount val="2"/>
                <c:pt idx="0">
                  <c:v>0.49704815035476357</c:v>
                </c:pt>
                <c:pt idx="1">
                  <c:v>0.50295184964523643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[MonthlyReportTemplate.xlsm]ForReport!PivotTable10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sz="1800" b="1" i="0" baseline="0">
                <a:effectLst/>
              </a:rPr>
              <a:t>月度发电量按人统计</a:t>
            </a:r>
            <a:endParaRPr lang="en-US">
              <a:effectLst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ForReport!$U$11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ForReport!$T$12:$T$14</c:f>
              <c:strCache>
                <c:ptCount val="2"/>
                <c:pt idx="0">
                  <c:v>何林森</c:v>
                </c:pt>
                <c:pt idx="1">
                  <c:v>肖斌</c:v>
                </c:pt>
              </c:strCache>
            </c:strRef>
          </c:cat>
          <c:val>
            <c:numRef>
              <c:f>ForReport!$U$12:$U$14</c:f>
              <c:numCache>
                <c:formatCode>General</c:formatCode>
                <c:ptCount val="2"/>
                <c:pt idx="0">
                  <c:v>18463</c:v>
                </c:pt>
                <c:pt idx="1">
                  <c:v>18463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756800"/>
        <c:axId val="136014656"/>
      </c:barChart>
      <c:catAx>
        <c:axId val="135756800"/>
        <c:scaling>
          <c:orientation val="minMax"/>
        </c:scaling>
        <c:delete val="0"/>
        <c:axPos val="b"/>
        <c:majorTickMark val="out"/>
        <c:minorTickMark val="none"/>
        <c:tickLblPos val="nextTo"/>
        <c:crossAx val="136014656"/>
        <c:crosses val="autoZero"/>
        <c:auto val="1"/>
        <c:lblAlgn val="ctr"/>
        <c:lblOffset val="100"/>
        <c:noMultiLvlLbl val="0"/>
      </c:catAx>
      <c:valAx>
        <c:axId val="13601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756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[MonthlyReportTemplate.xlsm]ForReport!PivotTable11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zh-CN" sz="1800" b="1" i="0" baseline="0">
                <a:effectLst/>
              </a:rPr>
              <a:t>月度工作时间统计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27973109162690224"/>
          <c:y val="5.4534849810440364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ForReport!$X$11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ForReport!$W$12:$W$14</c:f>
              <c:strCache>
                <c:ptCount val="2"/>
                <c:pt idx="0">
                  <c:v>何林森</c:v>
                </c:pt>
                <c:pt idx="1">
                  <c:v>肖斌</c:v>
                </c:pt>
              </c:strCache>
            </c:strRef>
          </c:cat>
          <c:val>
            <c:numRef>
              <c:f>ForReport!$X$12:$X$14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757312"/>
        <c:axId val="136016384"/>
      </c:barChart>
      <c:catAx>
        <c:axId val="135757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36016384"/>
        <c:crosses val="autoZero"/>
        <c:auto val="1"/>
        <c:lblAlgn val="ctr"/>
        <c:lblOffset val="100"/>
        <c:noMultiLvlLbl val="0"/>
      </c:catAx>
      <c:valAx>
        <c:axId val="1360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7573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发电机运行时间比</a:t>
            </a:r>
            <a:endParaRPr lang="en-US" altLang="en-US"/>
          </a:p>
        </c:rich>
      </c:tx>
      <c:layout/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ForReport!$Y$1</c:f>
              <c:strCache>
                <c:ptCount val="1"/>
                <c:pt idx="0">
                  <c:v>Work Time</c:v>
                </c:pt>
              </c:strCache>
            </c:strRef>
          </c:tx>
          <c:explosion val="25"/>
          <c:val>
            <c:numRef>
              <c:f>ForReport!$Y$2:$Y$3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3</xdr:row>
      <xdr:rowOff>19050</xdr:rowOff>
    </xdr:from>
    <xdr:to>
      <xdr:col>10</xdr:col>
      <xdr:colOff>106680</xdr:colOff>
      <xdr:row>20</xdr:row>
      <xdr:rowOff>175260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144780</xdr:colOff>
      <xdr:row>3</xdr:row>
      <xdr:rowOff>19050</xdr:rowOff>
    </xdr:from>
    <xdr:to>
      <xdr:col>20</xdr:col>
      <xdr:colOff>220980</xdr:colOff>
      <xdr:row>21</xdr:row>
      <xdr:rowOff>7620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68580</xdr:colOff>
      <xdr:row>22</xdr:row>
      <xdr:rowOff>19050</xdr:rowOff>
    </xdr:from>
    <xdr:to>
      <xdr:col>10</xdr:col>
      <xdr:colOff>99060</xdr:colOff>
      <xdr:row>43</xdr:row>
      <xdr:rowOff>53340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23</xdr:row>
      <xdr:rowOff>0</xdr:rowOff>
    </xdr:from>
    <xdr:to>
      <xdr:col>16</xdr:col>
      <xdr:colOff>792480</xdr:colOff>
      <xdr:row>38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281940</xdr:colOff>
      <xdr:row>41</xdr:row>
      <xdr:rowOff>15240</xdr:rowOff>
    </xdr:from>
    <xdr:to>
      <xdr:col>17</xdr:col>
      <xdr:colOff>198120</xdr:colOff>
      <xdr:row>57</xdr:row>
      <xdr:rowOff>45720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251460</xdr:colOff>
      <xdr:row>45</xdr:row>
      <xdr:rowOff>7620</xdr:rowOff>
    </xdr:from>
    <xdr:to>
      <xdr:col>9</xdr:col>
      <xdr:colOff>396240</xdr:colOff>
      <xdr:row>60</xdr:row>
      <xdr:rowOff>7620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76200</xdr:colOff>
      <xdr:row>22</xdr:row>
      <xdr:rowOff>161925</xdr:rowOff>
    </xdr:from>
    <xdr:to>
      <xdr:col>22</xdr:col>
      <xdr:colOff>0</xdr:colOff>
      <xdr:row>38</xdr:row>
      <xdr:rowOff>161925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1457;&#30005;&#37327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电量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yan Zhang" refreshedDate="42823.544261226853" missingItemsLimit="0" createdVersion="4" refreshedVersion="4" minRefreshableVersion="3" recordCount="2">
  <cacheSource type="worksheet">
    <worksheetSource name="PowerByWorker"/>
  </cacheSource>
  <cacheFields count="3">
    <cacheField name="Worker" numFmtId="0">
      <sharedItems count="2">
        <s v="肖斌"/>
        <s v="何林森"/>
      </sharedItems>
    </cacheField>
    <cacheField name="Power" numFmtId="0">
      <sharedItems containsSemiMixedTypes="0" containsString="0" containsNumber="1" containsInteger="1" minValue="18463" maxValue="18463"/>
    </cacheField>
    <cacheField name="Hours" numFmtId="0">
      <sharedItems containsSemiMixedTypes="0" containsString="0" containsNumber="1" containsInteger="1" minValue="12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">
  <r>
    <x v="0"/>
    <n v="18463"/>
    <n v="12"/>
  </r>
  <r>
    <x v="1"/>
    <n v="18463"/>
    <n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1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W11:X14" firstHeaderRow="1" firstDataRow="1" firstDataCol="1"/>
  <pivotFields count="3">
    <pivotField axis="axisRow" showAll="0">
      <items count="3">
        <item x="1"/>
        <item x="0"/>
        <item t="default"/>
      </items>
    </pivotField>
    <pivotField showAll="0"/>
    <pivotField dataField="1"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Hours" fld="2" baseField="0" baseItem="0"/>
  </dataFields>
  <formats count="7">
    <format dxfId="2"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 dxfId="1">
      <pivotArea type="all" dataOnly="0" outline="0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0" cacheId="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T11:U14" firstHeaderRow="1" firstDataRow="1" firstDataCol="1"/>
  <pivotFields count="3">
    <pivotField axis="axisRow" showAll="0">
      <items count="3">
        <item x="1"/>
        <item x="0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um of Power" fld="1" baseField="0" baseItem="0"/>
  </dataFields>
  <formats count="7">
    <format dxfId="3"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>
      <pivotArea type="all" dataOnly="0" outline="0" fieldPosition="0"/>
    </format>
    <format dxfId="0">
      <pivotArea type="all" dataOnly="0" outline="0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3"/>
  <sheetViews>
    <sheetView tabSelected="1" workbookViewId="0">
      <selection activeCell="J1" sqref="J1"/>
    </sheetView>
  </sheetViews>
  <sheetFormatPr defaultRowHeight="14.4"/>
  <cols>
    <col min="2" max="2" width="13" customWidth="1"/>
    <col min="3" max="3" width="11.44140625" customWidth="1"/>
    <col min="4" max="5" width="9.44140625" customWidth="1"/>
    <col min="6" max="9" width="15.33203125" customWidth="1"/>
  </cols>
  <sheetData>
    <row r="1" spans="1:9" s="1" customFormat="1" ht="28.8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4">
        <f t="shared" ref="A2:I11" si="0">IF(ROW() &lt;= ROWS(MonthReport), INDEX(MonthReport,ROW(),COLUMN()), "")</f>
        <v>1</v>
      </c>
      <c r="B2" s="5">
        <f t="shared" si="0"/>
        <v>42736</v>
      </c>
      <c r="C2" s="4" t="str">
        <f t="shared" si="0"/>
        <v>Day</v>
      </c>
      <c r="D2" s="4" t="str">
        <f t="shared" si="0"/>
        <v>肖斌</v>
      </c>
      <c r="E2" s="4" t="str">
        <f t="shared" si="0"/>
        <v>何林森</v>
      </c>
      <c r="F2" s="7">
        <f t="shared" si="0"/>
        <v>9177</v>
      </c>
      <c r="G2" s="7">
        <f t="shared" si="0"/>
        <v>9286</v>
      </c>
      <c r="H2" s="7">
        <f t="shared" si="0"/>
        <v>9431</v>
      </c>
      <c r="I2" s="7">
        <f t="shared" si="0"/>
        <v>0</v>
      </c>
    </row>
    <row r="3" spans="1:9">
      <c r="A3" s="4" t="str">
        <f t="shared" si="0"/>
        <v/>
      </c>
      <c r="B3" s="5" t="str">
        <f t="shared" si="0"/>
        <v/>
      </c>
      <c r="C3" s="4" t="str">
        <f t="shared" si="0"/>
        <v/>
      </c>
      <c r="D3" s="6" t="str">
        <f t="shared" si="0"/>
        <v/>
      </c>
      <c r="E3" s="6" t="str">
        <f t="shared" si="0"/>
        <v/>
      </c>
      <c r="F3" s="7" t="str">
        <f t="shared" si="0"/>
        <v/>
      </c>
      <c r="G3" s="7" t="str">
        <f t="shared" si="0"/>
        <v/>
      </c>
      <c r="H3" s="7" t="str">
        <f t="shared" si="0"/>
        <v/>
      </c>
      <c r="I3" s="7" t="str">
        <f t="shared" si="0"/>
        <v/>
      </c>
    </row>
    <row r="4" spans="1:9">
      <c r="A4" s="4" t="str">
        <f t="shared" si="0"/>
        <v/>
      </c>
      <c r="B4" s="5" t="str">
        <f t="shared" si="0"/>
        <v/>
      </c>
      <c r="C4" s="4" t="str">
        <f t="shared" si="0"/>
        <v/>
      </c>
      <c r="D4" s="6" t="str">
        <f t="shared" si="0"/>
        <v/>
      </c>
      <c r="E4" s="6" t="str">
        <f t="shared" si="0"/>
        <v/>
      </c>
      <c r="F4" s="7" t="str">
        <f t="shared" si="0"/>
        <v/>
      </c>
      <c r="G4" s="7" t="str">
        <f t="shared" si="0"/>
        <v/>
      </c>
      <c r="H4" s="7" t="str">
        <f t="shared" si="0"/>
        <v/>
      </c>
      <c r="I4" s="7" t="str">
        <f t="shared" si="0"/>
        <v/>
      </c>
    </row>
    <row r="5" spans="1:9">
      <c r="A5" s="4" t="str">
        <f t="shared" si="0"/>
        <v/>
      </c>
      <c r="B5" s="5" t="str">
        <f t="shared" si="0"/>
        <v/>
      </c>
      <c r="C5" s="4" t="str">
        <f t="shared" si="0"/>
        <v/>
      </c>
      <c r="D5" s="6" t="str">
        <f t="shared" si="0"/>
        <v/>
      </c>
      <c r="E5" s="6" t="str">
        <f t="shared" si="0"/>
        <v/>
      </c>
      <c r="F5" s="7" t="str">
        <f t="shared" si="0"/>
        <v/>
      </c>
      <c r="G5" s="7" t="str">
        <f t="shared" si="0"/>
        <v/>
      </c>
      <c r="H5" s="7" t="str">
        <f t="shared" si="0"/>
        <v/>
      </c>
      <c r="I5" s="7" t="str">
        <f t="shared" si="0"/>
        <v/>
      </c>
    </row>
    <row r="6" spans="1:9">
      <c r="A6" s="4" t="str">
        <f t="shared" si="0"/>
        <v/>
      </c>
      <c r="B6" s="5" t="str">
        <f t="shared" si="0"/>
        <v/>
      </c>
      <c r="C6" s="4" t="str">
        <f t="shared" si="0"/>
        <v/>
      </c>
      <c r="D6" s="6" t="str">
        <f t="shared" si="0"/>
        <v/>
      </c>
      <c r="E6" s="6" t="str">
        <f t="shared" si="0"/>
        <v/>
      </c>
      <c r="F6" s="7" t="str">
        <f t="shared" si="0"/>
        <v/>
      </c>
      <c r="G6" s="7" t="str">
        <f t="shared" si="0"/>
        <v/>
      </c>
      <c r="H6" s="7" t="str">
        <f t="shared" si="0"/>
        <v/>
      </c>
      <c r="I6" s="7" t="str">
        <f t="shared" si="0"/>
        <v/>
      </c>
    </row>
    <row r="7" spans="1:9">
      <c r="A7" s="4" t="str">
        <f t="shared" si="0"/>
        <v/>
      </c>
      <c r="B7" s="5" t="str">
        <f t="shared" si="0"/>
        <v/>
      </c>
      <c r="C7" s="4" t="str">
        <f t="shared" si="0"/>
        <v/>
      </c>
      <c r="D7" s="6" t="str">
        <f t="shared" si="0"/>
        <v/>
      </c>
      <c r="E7" s="6" t="str">
        <f t="shared" si="0"/>
        <v/>
      </c>
      <c r="F7" s="7" t="str">
        <f t="shared" si="0"/>
        <v/>
      </c>
      <c r="G7" s="7" t="str">
        <f t="shared" si="0"/>
        <v/>
      </c>
      <c r="H7" s="7" t="str">
        <f t="shared" si="0"/>
        <v/>
      </c>
      <c r="I7" s="7" t="str">
        <f t="shared" si="0"/>
        <v/>
      </c>
    </row>
    <row r="8" spans="1:9">
      <c r="A8" s="4" t="str">
        <f t="shared" si="0"/>
        <v/>
      </c>
      <c r="B8" s="5" t="str">
        <f t="shared" si="0"/>
        <v/>
      </c>
      <c r="C8" s="4" t="str">
        <f t="shared" si="0"/>
        <v/>
      </c>
      <c r="D8" s="6" t="str">
        <f t="shared" si="0"/>
        <v/>
      </c>
      <c r="E8" s="6" t="str">
        <f t="shared" si="0"/>
        <v/>
      </c>
      <c r="F8" s="7" t="str">
        <f t="shared" si="0"/>
        <v/>
      </c>
      <c r="G8" s="7" t="str">
        <f t="shared" si="0"/>
        <v/>
      </c>
      <c r="H8" s="7" t="str">
        <f t="shared" si="0"/>
        <v/>
      </c>
      <c r="I8" s="7" t="str">
        <f t="shared" si="0"/>
        <v/>
      </c>
    </row>
    <row r="9" spans="1:9">
      <c r="A9" s="4" t="str">
        <f t="shared" si="0"/>
        <v/>
      </c>
      <c r="B9" s="5" t="str">
        <f t="shared" si="0"/>
        <v/>
      </c>
      <c r="C9" s="4" t="str">
        <f t="shared" si="0"/>
        <v/>
      </c>
      <c r="D9" s="6" t="str">
        <f t="shared" si="0"/>
        <v/>
      </c>
      <c r="E9" s="6" t="str">
        <f t="shared" si="0"/>
        <v/>
      </c>
      <c r="F9" s="7" t="str">
        <f t="shared" si="0"/>
        <v/>
      </c>
      <c r="G9" s="7" t="str">
        <f t="shared" si="0"/>
        <v/>
      </c>
      <c r="H9" s="7" t="str">
        <f t="shared" si="0"/>
        <v/>
      </c>
      <c r="I9" s="7" t="str">
        <f t="shared" si="0"/>
        <v/>
      </c>
    </row>
    <row r="10" spans="1:9">
      <c r="A10" s="4" t="str">
        <f t="shared" si="0"/>
        <v/>
      </c>
      <c r="B10" s="5" t="str">
        <f t="shared" si="0"/>
        <v/>
      </c>
      <c r="C10" s="4" t="str">
        <f t="shared" si="0"/>
        <v/>
      </c>
      <c r="D10" s="6" t="str">
        <f t="shared" si="0"/>
        <v/>
      </c>
      <c r="E10" s="6" t="str">
        <f t="shared" si="0"/>
        <v/>
      </c>
      <c r="F10" s="7" t="str">
        <f t="shared" si="0"/>
        <v/>
      </c>
      <c r="G10" s="7" t="str">
        <f t="shared" si="0"/>
        <v/>
      </c>
      <c r="H10" s="7" t="str">
        <f t="shared" si="0"/>
        <v/>
      </c>
      <c r="I10" s="7" t="str">
        <f t="shared" si="0"/>
        <v/>
      </c>
    </row>
    <row r="11" spans="1:9">
      <c r="A11" s="4" t="str">
        <f t="shared" si="0"/>
        <v/>
      </c>
      <c r="B11" s="5" t="str">
        <f t="shared" si="0"/>
        <v/>
      </c>
      <c r="C11" s="4" t="str">
        <f t="shared" si="0"/>
        <v/>
      </c>
      <c r="D11" s="6" t="str">
        <f t="shared" si="0"/>
        <v/>
      </c>
      <c r="E11" s="6" t="str">
        <f t="shared" si="0"/>
        <v/>
      </c>
      <c r="F11" s="7" t="str">
        <f t="shared" si="0"/>
        <v/>
      </c>
      <c r="G11" s="7" t="str">
        <f t="shared" si="0"/>
        <v/>
      </c>
      <c r="H11" s="7" t="str">
        <f t="shared" si="0"/>
        <v/>
      </c>
      <c r="I11" s="7" t="str">
        <f t="shared" si="0"/>
        <v/>
      </c>
    </row>
    <row r="12" spans="1:9">
      <c r="A12" s="4" t="str">
        <f t="shared" ref="A12:I21" si="1">IF(ROW() &lt;= ROWS(MonthReport), INDEX(MonthReport,ROW(),COLUMN()), "")</f>
        <v/>
      </c>
      <c r="B12" s="5" t="str">
        <f t="shared" si="1"/>
        <v/>
      </c>
      <c r="C12" s="4" t="str">
        <f t="shared" si="1"/>
        <v/>
      </c>
      <c r="D12" s="6" t="str">
        <f t="shared" si="1"/>
        <v/>
      </c>
      <c r="E12" s="6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</row>
    <row r="13" spans="1:9">
      <c r="A13" s="4" t="str">
        <f t="shared" si="1"/>
        <v/>
      </c>
      <c r="B13" s="5" t="str">
        <f t="shared" si="1"/>
        <v/>
      </c>
      <c r="C13" s="4" t="str">
        <f t="shared" si="1"/>
        <v/>
      </c>
      <c r="D13" s="6" t="str">
        <f t="shared" si="1"/>
        <v/>
      </c>
      <c r="E13" s="6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</row>
    <row r="14" spans="1:9">
      <c r="A14" s="4" t="str">
        <f t="shared" si="1"/>
        <v/>
      </c>
      <c r="B14" s="5" t="str">
        <f t="shared" si="1"/>
        <v/>
      </c>
      <c r="C14" s="4" t="str">
        <f t="shared" si="1"/>
        <v/>
      </c>
      <c r="D14" s="6" t="str">
        <f t="shared" si="1"/>
        <v/>
      </c>
      <c r="E14" s="6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</row>
    <row r="15" spans="1:9">
      <c r="A15" s="4" t="str">
        <f t="shared" si="1"/>
        <v/>
      </c>
      <c r="B15" s="5" t="str">
        <f t="shared" si="1"/>
        <v/>
      </c>
      <c r="C15" s="4" t="str">
        <f t="shared" si="1"/>
        <v/>
      </c>
      <c r="D15" s="6" t="str">
        <f t="shared" si="1"/>
        <v/>
      </c>
      <c r="E15" s="6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</row>
    <row r="16" spans="1:9">
      <c r="A16" s="4" t="str">
        <f t="shared" si="1"/>
        <v/>
      </c>
      <c r="B16" s="5" t="str">
        <f t="shared" si="1"/>
        <v/>
      </c>
      <c r="C16" s="4" t="str">
        <f t="shared" si="1"/>
        <v/>
      </c>
      <c r="D16" s="6" t="str">
        <f t="shared" si="1"/>
        <v/>
      </c>
      <c r="E16" s="6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</row>
    <row r="17" spans="1:9">
      <c r="A17" s="4" t="str">
        <f t="shared" si="1"/>
        <v/>
      </c>
      <c r="B17" s="5" t="str">
        <f t="shared" si="1"/>
        <v/>
      </c>
      <c r="C17" s="4" t="str">
        <f t="shared" si="1"/>
        <v/>
      </c>
      <c r="D17" s="6" t="str">
        <f t="shared" si="1"/>
        <v/>
      </c>
      <c r="E17" s="6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</row>
    <row r="18" spans="1:9">
      <c r="A18" s="4" t="str">
        <f t="shared" si="1"/>
        <v/>
      </c>
      <c r="B18" s="5" t="str">
        <f t="shared" si="1"/>
        <v/>
      </c>
      <c r="C18" s="4" t="str">
        <f t="shared" si="1"/>
        <v/>
      </c>
      <c r="D18" s="6" t="str">
        <f t="shared" si="1"/>
        <v/>
      </c>
      <c r="E18" s="6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</row>
    <row r="19" spans="1:9">
      <c r="A19" s="4" t="str">
        <f t="shared" si="1"/>
        <v/>
      </c>
      <c r="B19" s="5" t="str">
        <f t="shared" si="1"/>
        <v/>
      </c>
      <c r="C19" s="4" t="str">
        <f t="shared" si="1"/>
        <v/>
      </c>
      <c r="D19" s="6" t="str">
        <f t="shared" si="1"/>
        <v/>
      </c>
      <c r="E19" s="6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</row>
    <row r="20" spans="1:9">
      <c r="A20" s="4" t="str">
        <f t="shared" si="1"/>
        <v/>
      </c>
      <c r="B20" s="5" t="str">
        <f t="shared" si="1"/>
        <v/>
      </c>
      <c r="C20" s="4" t="str">
        <f t="shared" si="1"/>
        <v/>
      </c>
      <c r="D20" s="6" t="str">
        <f t="shared" si="1"/>
        <v/>
      </c>
      <c r="E20" s="6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</row>
    <row r="21" spans="1:9">
      <c r="A21" s="4" t="str">
        <f t="shared" si="1"/>
        <v/>
      </c>
      <c r="B21" s="5" t="str">
        <f t="shared" si="1"/>
        <v/>
      </c>
      <c r="C21" s="4" t="str">
        <f t="shared" si="1"/>
        <v/>
      </c>
      <c r="D21" s="6" t="str">
        <f t="shared" si="1"/>
        <v/>
      </c>
      <c r="E21" s="6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</row>
    <row r="22" spans="1:9">
      <c r="A22" s="4" t="str">
        <f t="shared" ref="A22:I31" si="2">IF(ROW() &lt;= ROWS(MonthReport), INDEX(MonthReport,ROW(),COLUMN()), "")</f>
        <v/>
      </c>
      <c r="B22" s="5" t="str">
        <f t="shared" si="2"/>
        <v/>
      </c>
      <c r="C22" s="4" t="str">
        <f t="shared" si="2"/>
        <v/>
      </c>
      <c r="D22" s="6" t="str">
        <f t="shared" si="2"/>
        <v/>
      </c>
      <c r="E22" s="6" t="str">
        <f t="shared" si="2"/>
        <v/>
      </c>
      <c r="F22" s="7" t="str">
        <f t="shared" si="2"/>
        <v/>
      </c>
      <c r="G22" s="7" t="str">
        <f t="shared" si="2"/>
        <v/>
      </c>
      <c r="H22" s="7" t="str">
        <f t="shared" si="2"/>
        <v/>
      </c>
      <c r="I22" s="7" t="str">
        <f t="shared" si="2"/>
        <v/>
      </c>
    </row>
    <row r="23" spans="1:9">
      <c r="A23" s="4" t="str">
        <f t="shared" si="2"/>
        <v/>
      </c>
      <c r="B23" s="5" t="str">
        <f t="shared" si="2"/>
        <v/>
      </c>
      <c r="C23" s="4" t="str">
        <f t="shared" si="2"/>
        <v/>
      </c>
      <c r="D23" s="6" t="str">
        <f t="shared" si="2"/>
        <v/>
      </c>
      <c r="E23" s="6" t="str">
        <f t="shared" si="2"/>
        <v/>
      </c>
      <c r="F23" s="7" t="str">
        <f t="shared" si="2"/>
        <v/>
      </c>
      <c r="G23" s="7" t="str">
        <f t="shared" si="2"/>
        <v/>
      </c>
      <c r="H23" s="7" t="str">
        <f t="shared" si="2"/>
        <v/>
      </c>
      <c r="I23" s="7" t="str">
        <f t="shared" si="2"/>
        <v/>
      </c>
    </row>
    <row r="24" spans="1:9">
      <c r="A24" s="4" t="str">
        <f t="shared" si="2"/>
        <v/>
      </c>
      <c r="B24" s="5" t="str">
        <f t="shared" si="2"/>
        <v/>
      </c>
      <c r="C24" s="4" t="str">
        <f t="shared" si="2"/>
        <v/>
      </c>
      <c r="D24" s="6" t="str">
        <f t="shared" si="2"/>
        <v/>
      </c>
      <c r="E24" s="6" t="str">
        <f t="shared" si="2"/>
        <v/>
      </c>
      <c r="F24" s="7" t="str">
        <f t="shared" si="2"/>
        <v/>
      </c>
      <c r="G24" s="7" t="str">
        <f t="shared" si="2"/>
        <v/>
      </c>
      <c r="H24" s="7" t="str">
        <f t="shared" si="2"/>
        <v/>
      </c>
      <c r="I24" s="7" t="str">
        <f t="shared" si="2"/>
        <v/>
      </c>
    </row>
    <row r="25" spans="1:9">
      <c r="A25" s="4" t="str">
        <f t="shared" si="2"/>
        <v/>
      </c>
      <c r="B25" s="5" t="str">
        <f t="shared" si="2"/>
        <v/>
      </c>
      <c r="C25" s="4" t="str">
        <f t="shared" si="2"/>
        <v/>
      </c>
      <c r="D25" s="6" t="str">
        <f t="shared" si="2"/>
        <v/>
      </c>
      <c r="E25" s="6" t="str">
        <f t="shared" si="2"/>
        <v/>
      </c>
      <c r="F25" s="7" t="str">
        <f t="shared" si="2"/>
        <v/>
      </c>
      <c r="G25" s="7" t="str">
        <f t="shared" si="2"/>
        <v/>
      </c>
      <c r="H25" s="7" t="str">
        <f t="shared" si="2"/>
        <v/>
      </c>
      <c r="I25" s="7" t="str">
        <f t="shared" si="2"/>
        <v/>
      </c>
    </row>
    <row r="26" spans="1:9">
      <c r="A26" s="4" t="str">
        <f t="shared" si="2"/>
        <v/>
      </c>
      <c r="B26" s="5" t="str">
        <f t="shared" si="2"/>
        <v/>
      </c>
      <c r="C26" s="4" t="str">
        <f t="shared" si="2"/>
        <v/>
      </c>
      <c r="D26" s="6" t="str">
        <f t="shared" si="2"/>
        <v/>
      </c>
      <c r="E26" s="6" t="str">
        <f t="shared" si="2"/>
        <v/>
      </c>
      <c r="F26" s="7" t="str">
        <f t="shared" si="2"/>
        <v/>
      </c>
      <c r="G26" s="7" t="str">
        <f t="shared" si="2"/>
        <v/>
      </c>
      <c r="H26" s="7" t="str">
        <f t="shared" si="2"/>
        <v/>
      </c>
      <c r="I26" s="7" t="str">
        <f t="shared" si="2"/>
        <v/>
      </c>
    </row>
    <row r="27" spans="1:9">
      <c r="A27" s="4" t="str">
        <f t="shared" si="2"/>
        <v/>
      </c>
      <c r="B27" s="5" t="str">
        <f t="shared" si="2"/>
        <v/>
      </c>
      <c r="C27" s="4" t="str">
        <f t="shared" si="2"/>
        <v/>
      </c>
      <c r="D27" s="6" t="str">
        <f t="shared" si="2"/>
        <v/>
      </c>
      <c r="E27" s="6" t="str">
        <f t="shared" si="2"/>
        <v/>
      </c>
      <c r="F27" s="7" t="str">
        <f t="shared" si="2"/>
        <v/>
      </c>
      <c r="G27" s="7" t="str">
        <f t="shared" si="2"/>
        <v/>
      </c>
      <c r="H27" s="7" t="str">
        <f t="shared" si="2"/>
        <v/>
      </c>
      <c r="I27" s="7" t="str">
        <f t="shared" si="2"/>
        <v/>
      </c>
    </row>
    <row r="28" spans="1:9">
      <c r="A28" s="4" t="str">
        <f t="shared" si="2"/>
        <v/>
      </c>
      <c r="B28" s="5" t="str">
        <f t="shared" si="2"/>
        <v/>
      </c>
      <c r="C28" s="4" t="str">
        <f t="shared" si="2"/>
        <v/>
      </c>
      <c r="D28" s="6" t="str">
        <f t="shared" si="2"/>
        <v/>
      </c>
      <c r="E28" s="6" t="str">
        <f t="shared" si="2"/>
        <v/>
      </c>
      <c r="F28" s="7" t="str">
        <f t="shared" si="2"/>
        <v/>
      </c>
      <c r="G28" s="7" t="str">
        <f t="shared" si="2"/>
        <v/>
      </c>
      <c r="H28" s="7" t="str">
        <f t="shared" si="2"/>
        <v/>
      </c>
      <c r="I28" s="7" t="str">
        <f t="shared" si="2"/>
        <v/>
      </c>
    </row>
    <row r="29" spans="1:9">
      <c r="A29" s="4" t="str">
        <f t="shared" si="2"/>
        <v/>
      </c>
      <c r="B29" s="5" t="str">
        <f t="shared" si="2"/>
        <v/>
      </c>
      <c r="C29" s="4" t="str">
        <f t="shared" si="2"/>
        <v/>
      </c>
      <c r="D29" s="6" t="str">
        <f t="shared" si="2"/>
        <v/>
      </c>
      <c r="E29" s="6" t="str">
        <f t="shared" si="2"/>
        <v/>
      </c>
      <c r="F29" s="7" t="str">
        <f t="shared" si="2"/>
        <v/>
      </c>
      <c r="G29" s="7" t="str">
        <f t="shared" si="2"/>
        <v/>
      </c>
      <c r="H29" s="7" t="str">
        <f t="shared" si="2"/>
        <v/>
      </c>
      <c r="I29" s="7" t="str">
        <f t="shared" si="2"/>
        <v/>
      </c>
    </row>
    <row r="30" spans="1:9">
      <c r="A30" s="4" t="str">
        <f t="shared" si="2"/>
        <v/>
      </c>
      <c r="B30" s="5" t="str">
        <f t="shared" si="2"/>
        <v/>
      </c>
      <c r="C30" s="4" t="str">
        <f t="shared" si="2"/>
        <v/>
      </c>
      <c r="D30" s="6" t="str">
        <f t="shared" si="2"/>
        <v/>
      </c>
      <c r="E30" s="6" t="str">
        <f t="shared" si="2"/>
        <v/>
      </c>
      <c r="F30" s="7" t="str">
        <f t="shared" si="2"/>
        <v/>
      </c>
      <c r="G30" s="7" t="str">
        <f t="shared" si="2"/>
        <v/>
      </c>
      <c r="H30" s="7" t="str">
        <f t="shared" si="2"/>
        <v/>
      </c>
      <c r="I30" s="7" t="str">
        <f t="shared" si="2"/>
        <v/>
      </c>
    </row>
    <row r="31" spans="1:9">
      <c r="A31" s="4" t="str">
        <f t="shared" si="2"/>
        <v/>
      </c>
      <c r="B31" s="5" t="str">
        <f t="shared" si="2"/>
        <v/>
      </c>
      <c r="C31" s="4" t="str">
        <f t="shared" si="2"/>
        <v/>
      </c>
      <c r="D31" s="6" t="str">
        <f t="shared" si="2"/>
        <v/>
      </c>
      <c r="E31" s="6" t="str">
        <f t="shared" si="2"/>
        <v/>
      </c>
      <c r="F31" s="7" t="str">
        <f t="shared" si="2"/>
        <v/>
      </c>
      <c r="G31" s="7" t="str">
        <f t="shared" si="2"/>
        <v/>
      </c>
      <c r="H31" s="7" t="str">
        <f t="shared" si="2"/>
        <v/>
      </c>
      <c r="I31" s="7" t="str">
        <f t="shared" si="2"/>
        <v/>
      </c>
    </row>
    <row r="32" spans="1:9">
      <c r="A32" s="4" t="str">
        <f t="shared" ref="A32:I41" si="3">IF(ROW() &lt;= ROWS(MonthReport), INDEX(MonthReport,ROW(),COLUMN()), "")</f>
        <v/>
      </c>
      <c r="B32" s="5" t="str">
        <f t="shared" si="3"/>
        <v/>
      </c>
      <c r="C32" s="4" t="str">
        <f t="shared" si="3"/>
        <v/>
      </c>
      <c r="D32" s="6" t="str">
        <f t="shared" si="3"/>
        <v/>
      </c>
      <c r="E32" s="6" t="str">
        <f t="shared" si="3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</row>
    <row r="33" spans="1:9">
      <c r="A33" s="4" t="str">
        <f t="shared" si="3"/>
        <v/>
      </c>
      <c r="B33" s="5" t="str">
        <f t="shared" si="3"/>
        <v/>
      </c>
      <c r="C33" s="4" t="str">
        <f t="shared" si="3"/>
        <v/>
      </c>
      <c r="D33" s="6" t="str">
        <f t="shared" si="3"/>
        <v/>
      </c>
      <c r="E33" s="6" t="str">
        <f t="shared" si="3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</row>
    <row r="34" spans="1:9">
      <c r="A34" s="4" t="str">
        <f t="shared" si="3"/>
        <v/>
      </c>
      <c r="B34" s="5" t="str">
        <f t="shared" si="3"/>
        <v/>
      </c>
      <c r="C34" s="4" t="str">
        <f t="shared" si="3"/>
        <v/>
      </c>
      <c r="D34" s="6" t="str">
        <f t="shared" si="3"/>
        <v/>
      </c>
      <c r="E34" s="6" t="str">
        <f t="shared" si="3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</row>
    <row r="35" spans="1:9">
      <c r="A35" s="4" t="str">
        <f t="shared" si="3"/>
        <v/>
      </c>
      <c r="B35" s="5" t="str">
        <f t="shared" si="3"/>
        <v/>
      </c>
      <c r="C35" s="4" t="str">
        <f t="shared" si="3"/>
        <v/>
      </c>
      <c r="D35" s="6" t="str">
        <f t="shared" si="3"/>
        <v/>
      </c>
      <c r="E35" s="6" t="str">
        <f t="shared" si="3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</row>
    <row r="36" spans="1:9">
      <c r="A36" s="4" t="str">
        <f t="shared" si="3"/>
        <v/>
      </c>
      <c r="B36" s="5" t="str">
        <f t="shared" si="3"/>
        <v/>
      </c>
      <c r="C36" s="4" t="str">
        <f t="shared" si="3"/>
        <v/>
      </c>
      <c r="D36" s="6" t="str">
        <f t="shared" si="3"/>
        <v/>
      </c>
      <c r="E36" s="6" t="str">
        <f t="shared" si="3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</row>
    <row r="37" spans="1:9">
      <c r="A37" s="4" t="str">
        <f t="shared" si="3"/>
        <v/>
      </c>
      <c r="B37" s="5" t="str">
        <f t="shared" si="3"/>
        <v/>
      </c>
      <c r="C37" s="4" t="str">
        <f t="shared" si="3"/>
        <v/>
      </c>
      <c r="D37" s="6" t="str">
        <f t="shared" si="3"/>
        <v/>
      </c>
      <c r="E37" s="6" t="str">
        <f t="shared" si="3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</row>
    <row r="38" spans="1:9">
      <c r="A38" s="4" t="str">
        <f t="shared" si="3"/>
        <v/>
      </c>
      <c r="B38" s="5" t="str">
        <f t="shared" si="3"/>
        <v/>
      </c>
      <c r="C38" s="4" t="str">
        <f t="shared" si="3"/>
        <v/>
      </c>
      <c r="D38" s="6" t="str">
        <f t="shared" si="3"/>
        <v/>
      </c>
      <c r="E38" s="6" t="str">
        <f t="shared" si="3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</row>
    <row r="39" spans="1:9">
      <c r="A39" s="4" t="str">
        <f t="shared" si="3"/>
        <v/>
      </c>
      <c r="B39" s="5" t="str">
        <f t="shared" si="3"/>
        <v/>
      </c>
      <c r="C39" s="4" t="str">
        <f t="shared" si="3"/>
        <v/>
      </c>
      <c r="D39" s="6" t="str">
        <f t="shared" si="3"/>
        <v/>
      </c>
      <c r="E39" s="6" t="str">
        <f t="shared" si="3"/>
        <v/>
      </c>
      <c r="F39" s="7" t="str">
        <f t="shared" si="3"/>
        <v/>
      </c>
      <c r="G39" s="7" t="str">
        <f t="shared" si="3"/>
        <v/>
      </c>
      <c r="H39" s="7" t="str">
        <f t="shared" si="3"/>
        <v/>
      </c>
      <c r="I39" s="7" t="str">
        <f t="shared" si="3"/>
        <v/>
      </c>
    </row>
    <row r="40" spans="1:9">
      <c r="A40" s="4" t="str">
        <f t="shared" si="3"/>
        <v/>
      </c>
      <c r="B40" s="5" t="str">
        <f t="shared" si="3"/>
        <v/>
      </c>
      <c r="C40" s="4" t="str">
        <f t="shared" si="3"/>
        <v/>
      </c>
      <c r="D40" s="6" t="str">
        <f t="shared" si="3"/>
        <v/>
      </c>
      <c r="E40" s="6" t="str">
        <f t="shared" si="3"/>
        <v/>
      </c>
      <c r="F40" s="7" t="str">
        <f t="shared" si="3"/>
        <v/>
      </c>
      <c r="G40" s="7" t="str">
        <f t="shared" si="3"/>
        <v/>
      </c>
      <c r="H40" s="7" t="str">
        <f t="shared" si="3"/>
        <v/>
      </c>
      <c r="I40" s="7" t="str">
        <f t="shared" si="3"/>
        <v/>
      </c>
    </row>
    <row r="41" spans="1:9">
      <c r="A41" s="4" t="str">
        <f t="shared" si="3"/>
        <v/>
      </c>
      <c r="B41" s="5" t="str">
        <f t="shared" si="3"/>
        <v/>
      </c>
      <c r="C41" s="4" t="str">
        <f t="shared" si="3"/>
        <v/>
      </c>
      <c r="D41" s="6" t="str">
        <f t="shared" si="3"/>
        <v/>
      </c>
      <c r="E41" s="6" t="str">
        <f t="shared" si="3"/>
        <v/>
      </c>
      <c r="F41" s="7" t="str">
        <f t="shared" si="3"/>
        <v/>
      </c>
      <c r="G41" s="7" t="str">
        <f t="shared" si="3"/>
        <v/>
      </c>
      <c r="H41" s="7" t="str">
        <f t="shared" si="3"/>
        <v/>
      </c>
      <c r="I41" s="7" t="str">
        <f t="shared" si="3"/>
        <v/>
      </c>
    </row>
    <row r="42" spans="1:9">
      <c r="A42" s="4" t="str">
        <f t="shared" ref="A42:I51" si="4">IF(ROW() &lt;= ROWS(MonthReport), INDEX(MonthReport,ROW(),COLUMN()), "")</f>
        <v/>
      </c>
      <c r="B42" s="5" t="str">
        <f t="shared" si="4"/>
        <v/>
      </c>
      <c r="C42" s="4" t="str">
        <f t="shared" si="4"/>
        <v/>
      </c>
      <c r="D42" s="6" t="str">
        <f t="shared" si="4"/>
        <v/>
      </c>
      <c r="E42" s="6" t="str">
        <f t="shared" si="4"/>
        <v/>
      </c>
      <c r="F42" s="7" t="str">
        <f t="shared" si="4"/>
        <v/>
      </c>
      <c r="G42" s="7" t="str">
        <f t="shared" si="4"/>
        <v/>
      </c>
      <c r="H42" s="7" t="str">
        <f t="shared" si="4"/>
        <v/>
      </c>
      <c r="I42" s="7" t="str">
        <f t="shared" si="4"/>
        <v/>
      </c>
    </row>
    <row r="43" spans="1:9">
      <c r="A43" s="4" t="str">
        <f t="shared" si="4"/>
        <v/>
      </c>
      <c r="B43" s="5" t="str">
        <f t="shared" si="4"/>
        <v/>
      </c>
      <c r="C43" s="4" t="str">
        <f t="shared" si="4"/>
        <v/>
      </c>
      <c r="D43" s="6" t="str">
        <f t="shared" si="4"/>
        <v/>
      </c>
      <c r="E43" s="6" t="str">
        <f t="shared" si="4"/>
        <v/>
      </c>
      <c r="F43" s="7" t="str">
        <f t="shared" si="4"/>
        <v/>
      </c>
      <c r="G43" s="7" t="str">
        <f t="shared" si="4"/>
        <v/>
      </c>
      <c r="H43" s="7" t="str">
        <f t="shared" si="4"/>
        <v/>
      </c>
      <c r="I43" s="7" t="str">
        <f t="shared" si="4"/>
        <v/>
      </c>
    </row>
    <row r="44" spans="1:9">
      <c r="A44" s="4" t="str">
        <f t="shared" si="4"/>
        <v/>
      </c>
      <c r="B44" s="5" t="str">
        <f t="shared" si="4"/>
        <v/>
      </c>
      <c r="C44" s="4" t="str">
        <f t="shared" si="4"/>
        <v/>
      </c>
      <c r="D44" s="6" t="str">
        <f t="shared" si="4"/>
        <v/>
      </c>
      <c r="E44" s="6" t="str">
        <f t="shared" si="4"/>
        <v/>
      </c>
      <c r="F44" s="7" t="str">
        <f t="shared" si="4"/>
        <v/>
      </c>
      <c r="G44" s="7" t="str">
        <f t="shared" si="4"/>
        <v/>
      </c>
      <c r="H44" s="7" t="str">
        <f t="shared" si="4"/>
        <v/>
      </c>
      <c r="I44" s="7" t="str">
        <f t="shared" si="4"/>
        <v/>
      </c>
    </row>
    <row r="45" spans="1:9">
      <c r="A45" s="4" t="str">
        <f t="shared" si="4"/>
        <v/>
      </c>
      <c r="B45" s="5" t="str">
        <f t="shared" si="4"/>
        <v/>
      </c>
      <c r="C45" s="4" t="str">
        <f t="shared" si="4"/>
        <v/>
      </c>
      <c r="D45" s="6" t="str">
        <f t="shared" si="4"/>
        <v/>
      </c>
      <c r="E45" s="6" t="str">
        <f t="shared" si="4"/>
        <v/>
      </c>
      <c r="F45" s="7" t="str">
        <f t="shared" si="4"/>
        <v/>
      </c>
      <c r="G45" s="7" t="str">
        <f t="shared" si="4"/>
        <v/>
      </c>
      <c r="H45" s="7" t="str">
        <f t="shared" si="4"/>
        <v/>
      </c>
      <c r="I45" s="7" t="str">
        <f t="shared" si="4"/>
        <v/>
      </c>
    </row>
    <row r="46" spans="1:9">
      <c r="A46" s="4" t="str">
        <f t="shared" si="4"/>
        <v/>
      </c>
      <c r="B46" s="5" t="str">
        <f t="shared" si="4"/>
        <v/>
      </c>
      <c r="C46" s="4" t="str">
        <f t="shared" si="4"/>
        <v/>
      </c>
      <c r="D46" s="6" t="str">
        <f t="shared" si="4"/>
        <v/>
      </c>
      <c r="E46" s="6" t="str">
        <f t="shared" si="4"/>
        <v/>
      </c>
      <c r="F46" s="7" t="str">
        <f t="shared" si="4"/>
        <v/>
      </c>
      <c r="G46" s="7" t="str">
        <f t="shared" si="4"/>
        <v/>
      </c>
      <c r="H46" s="7" t="str">
        <f t="shared" si="4"/>
        <v/>
      </c>
      <c r="I46" s="7" t="str">
        <f t="shared" si="4"/>
        <v/>
      </c>
    </row>
    <row r="47" spans="1:9">
      <c r="A47" s="4" t="str">
        <f t="shared" si="4"/>
        <v/>
      </c>
      <c r="B47" s="5" t="str">
        <f t="shared" si="4"/>
        <v/>
      </c>
      <c r="C47" s="4" t="str">
        <f t="shared" si="4"/>
        <v/>
      </c>
      <c r="D47" s="6" t="str">
        <f t="shared" si="4"/>
        <v/>
      </c>
      <c r="E47" s="6" t="str">
        <f t="shared" si="4"/>
        <v/>
      </c>
      <c r="F47" s="7" t="str">
        <f t="shared" si="4"/>
        <v/>
      </c>
      <c r="G47" s="7" t="str">
        <f t="shared" si="4"/>
        <v/>
      </c>
      <c r="H47" s="7" t="str">
        <f t="shared" si="4"/>
        <v/>
      </c>
      <c r="I47" s="7" t="str">
        <f t="shared" si="4"/>
        <v/>
      </c>
    </row>
    <row r="48" spans="1:9">
      <c r="A48" s="4" t="str">
        <f t="shared" si="4"/>
        <v/>
      </c>
      <c r="B48" s="5" t="str">
        <f t="shared" si="4"/>
        <v/>
      </c>
      <c r="C48" s="4" t="str">
        <f t="shared" si="4"/>
        <v/>
      </c>
      <c r="D48" s="6" t="str">
        <f t="shared" si="4"/>
        <v/>
      </c>
      <c r="E48" s="6" t="str">
        <f t="shared" si="4"/>
        <v/>
      </c>
      <c r="F48" s="7" t="str">
        <f t="shared" si="4"/>
        <v/>
      </c>
      <c r="G48" s="7" t="str">
        <f t="shared" si="4"/>
        <v/>
      </c>
      <c r="H48" s="7" t="str">
        <f t="shared" si="4"/>
        <v/>
      </c>
      <c r="I48" s="7" t="str">
        <f t="shared" si="4"/>
        <v/>
      </c>
    </row>
    <row r="49" spans="1:9">
      <c r="A49" s="4" t="str">
        <f t="shared" si="4"/>
        <v/>
      </c>
      <c r="B49" s="5" t="str">
        <f t="shared" si="4"/>
        <v/>
      </c>
      <c r="C49" s="4" t="str">
        <f t="shared" si="4"/>
        <v/>
      </c>
      <c r="D49" s="6" t="str">
        <f t="shared" si="4"/>
        <v/>
      </c>
      <c r="E49" s="6" t="str">
        <f t="shared" si="4"/>
        <v/>
      </c>
      <c r="F49" s="7" t="str">
        <f t="shared" si="4"/>
        <v/>
      </c>
      <c r="G49" s="7" t="str">
        <f t="shared" si="4"/>
        <v/>
      </c>
      <c r="H49" s="7" t="str">
        <f t="shared" si="4"/>
        <v/>
      </c>
      <c r="I49" s="7" t="str">
        <f t="shared" si="4"/>
        <v/>
      </c>
    </row>
    <row r="50" spans="1:9">
      <c r="A50" s="4" t="str">
        <f t="shared" si="4"/>
        <v/>
      </c>
      <c r="B50" s="5" t="str">
        <f t="shared" si="4"/>
        <v/>
      </c>
      <c r="C50" s="4" t="str">
        <f t="shared" si="4"/>
        <v/>
      </c>
      <c r="D50" s="6" t="str">
        <f t="shared" si="4"/>
        <v/>
      </c>
      <c r="E50" s="6" t="str">
        <f t="shared" si="4"/>
        <v/>
      </c>
      <c r="F50" s="7" t="str">
        <f t="shared" si="4"/>
        <v/>
      </c>
      <c r="G50" s="7" t="str">
        <f t="shared" si="4"/>
        <v/>
      </c>
      <c r="H50" s="7" t="str">
        <f t="shared" si="4"/>
        <v/>
      </c>
      <c r="I50" s="7" t="str">
        <f t="shared" si="4"/>
        <v/>
      </c>
    </row>
    <row r="51" spans="1:9">
      <c r="A51" s="4" t="str">
        <f t="shared" si="4"/>
        <v/>
      </c>
      <c r="B51" s="5" t="str">
        <f t="shared" si="4"/>
        <v/>
      </c>
      <c r="C51" s="4" t="str">
        <f t="shared" si="4"/>
        <v/>
      </c>
      <c r="D51" s="6" t="str">
        <f t="shared" si="4"/>
        <v/>
      </c>
      <c r="E51" s="6" t="str">
        <f t="shared" si="4"/>
        <v/>
      </c>
      <c r="F51" s="7" t="str">
        <f t="shared" si="4"/>
        <v/>
      </c>
      <c r="G51" s="7" t="str">
        <f t="shared" si="4"/>
        <v/>
      </c>
      <c r="H51" s="7" t="str">
        <f t="shared" si="4"/>
        <v/>
      </c>
      <c r="I51" s="7" t="str">
        <f t="shared" si="4"/>
        <v/>
      </c>
    </row>
    <row r="52" spans="1:9">
      <c r="A52" s="4" t="str">
        <f t="shared" ref="A52:I63" si="5">IF(ROW() &lt;= ROWS(MonthReport), INDEX(MonthReport,ROW(),COLUMN()), "")</f>
        <v/>
      </c>
      <c r="B52" s="5" t="str">
        <f t="shared" si="5"/>
        <v/>
      </c>
      <c r="C52" s="4" t="str">
        <f t="shared" si="5"/>
        <v/>
      </c>
      <c r="D52" s="6" t="str">
        <f t="shared" si="5"/>
        <v/>
      </c>
      <c r="E52" s="6" t="str">
        <f t="shared" si="5"/>
        <v/>
      </c>
      <c r="F52" s="7" t="str">
        <f t="shared" si="5"/>
        <v/>
      </c>
      <c r="G52" s="7" t="str">
        <f t="shared" si="5"/>
        <v/>
      </c>
      <c r="H52" s="7" t="str">
        <f t="shared" si="5"/>
        <v/>
      </c>
      <c r="I52" s="7" t="str">
        <f t="shared" si="5"/>
        <v/>
      </c>
    </row>
    <row r="53" spans="1:9">
      <c r="A53" s="4" t="str">
        <f t="shared" si="5"/>
        <v/>
      </c>
      <c r="B53" s="5" t="str">
        <f t="shared" si="5"/>
        <v/>
      </c>
      <c r="C53" s="4" t="str">
        <f t="shared" si="5"/>
        <v/>
      </c>
      <c r="D53" s="6" t="str">
        <f t="shared" si="5"/>
        <v/>
      </c>
      <c r="E53" s="6" t="str">
        <f t="shared" si="5"/>
        <v/>
      </c>
      <c r="F53" s="7" t="str">
        <f t="shared" si="5"/>
        <v/>
      </c>
      <c r="G53" s="7" t="str">
        <f t="shared" si="5"/>
        <v/>
      </c>
      <c r="H53" s="7" t="str">
        <f t="shared" si="5"/>
        <v/>
      </c>
      <c r="I53" s="7" t="str">
        <f t="shared" si="5"/>
        <v/>
      </c>
    </row>
    <row r="54" spans="1:9">
      <c r="A54" s="4" t="str">
        <f t="shared" si="5"/>
        <v/>
      </c>
      <c r="B54" s="5" t="str">
        <f t="shared" si="5"/>
        <v/>
      </c>
      <c r="C54" s="4" t="str">
        <f t="shared" si="5"/>
        <v/>
      </c>
      <c r="D54" s="6" t="str">
        <f t="shared" si="5"/>
        <v/>
      </c>
      <c r="E54" s="6" t="str">
        <f t="shared" si="5"/>
        <v/>
      </c>
      <c r="F54" s="7" t="str">
        <f t="shared" si="5"/>
        <v/>
      </c>
      <c r="G54" s="7" t="str">
        <f t="shared" si="5"/>
        <v/>
      </c>
      <c r="H54" s="7" t="str">
        <f t="shared" si="5"/>
        <v/>
      </c>
      <c r="I54" s="7" t="str">
        <f t="shared" si="5"/>
        <v/>
      </c>
    </row>
    <row r="55" spans="1:9">
      <c r="A55" s="4" t="str">
        <f t="shared" si="5"/>
        <v/>
      </c>
      <c r="B55" s="5" t="str">
        <f t="shared" si="5"/>
        <v/>
      </c>
      <c r="C55" s="4" t="str">
        <f t="shared" si="5"/>
        <v/>
      </c>
      <c r="D55" s="6" t="str">
        <f t="shared" si="5"/>
        <v/>
      </c>
      <c r="E55" s="6" t="str">
        <f t="shared" si="5"/>
        <v/>
      </c>
      <c r="F55" s="7" t="str">
        <f t="shared" si="5"/>
        <v/>
      </c>
      <c r="G55" s="7" t="str">
        <f t="shared" si="5"/>
        <v/>
      </c>
      <c r="H55" s="7" t="str">
        <f t="shared" si="5"/>
        <v/>
      </c>
      <c r="I55" s="7" t="str">
        <f t="shared" si="5"/>
        <v/>
      </c>
    </row>
    <row r="56" spans="1:9">
      <c r="A56" s="4" t="str">
        <f t="shared" si="5"/>
        <v/>
      </c>
      <c r="B56" s="5" t="str">
        <f t="shared" si="5"/>
        <v/>
      </c>
      <c r="C56" s="4" t="str">
        <f t="shared" si="5"/>
        <v/>
      </c>
      <c r="D56" s="6" t="str">
        <f t="shared" si="5"/>
        <v/>
      </c>
      <c r="E56" s="6" t="str">
        <f t="shared" si="5"/>
        <v/>
      </c>
      <c r="F56" s="7" t="str">
        <f t="shared" si="5"/>
        <v/>
      </c>
      <c r="G56" s="7" t="str">
        <f t="shared" si="5"/>
        <v/>
      </c>
      <c r="H56" s="7" t="str">
        <f t="shared" si="5"/>
        <v/>
      </c>
      <c r="I56" s="7" t="str">
        <f t="shared" si="5"/>
        <v/>
      </c>
    </row>
    <row r="57" spans="1:9">
      <c r="A57" s="4" t="str">
        <f t="shared" si="5"/>
        <v/>
      </c>
      <c r="B57" s="5" t="str">
        <f t="shared" si="5"/>
        <v/>
      </c>
      <c r="C57" s="4" t="str">
        <f t="shared" si="5"/>
        <v/>
      </c>
      <c r="D57" s="6" t="str">
        <f t="shared" si="5"/>
        <v/>
      </c>
      <c r="E57" s="6" t="str">
        <f t="shared" si="5"/>
        <v/>
      </c>
      <c r="F57" s="7" t="str">
        <f t="shared" si="5"/>
        <v/>
      </c>
      <c r="G57" s="7" t="str">
        <f t="shared" si="5"/>
        <v/>
      </c>
      <c r="H57" s="7" t="str">
        <f t="shared" si="5"/>
        <v/>
      </c>
      <c r="I57" s="7" t="str">
        <f t="shared" si="5"/>
        <v/>
      </c>
    </row>
    <row r="58" spans="1:9">
      <c r="A58" s="4" t="str">
        <f t="shared" si="5"/>
        <v/>
      </c>
      <c r="B58" s="5" t="str">
        <f t="shared" si="5"/>
        <v/>
      </c>
      <c r="C58" s="4" t="str">
        <f t="shared" si="5"/>
        <v/>
      </c>
      <c r="D58" s="6" t="str">
        <f t="shared" si="5"/>
        <v/>
      </c>
      <c r="E58" s="6" t="str">
        <f t="shared" si="5"/>
        <v/>
      </c>
      <c r="F58" s="7" t="str">
        <f t="shared" si="5"/>
        <v/>
      </c>
      <c r="G58" s="7" t="str">
        <f t="shared" si="5"/>
        <v/>
      </c>
      <c r="H58" s="7" t="str">
        <f t="shared" si="5"/>
        <v/>
      </c>
      <c r="I58" s="7" t="str">
        <f t="shared" si="5"/>
        <v/>
      </c>
    </row>
    <row r="59" spans="1:9">
      <c r="A59" s="4" t="str">
        <f t="shared" si="5"/>
        <v/>
      </c>
      <c r="B59" s="5" t="str">
        <f t="shared" si="5"/>
        <v/>
      </c>
      <c r="C59" s="4" t="str">
        <f t="shared" si="5"/>
        <v/>
      </c>
      <c r="D59" s="6" t="str">
        <f t="shared" si="5"/>
        <v/>
      </c>
      <c r="E59" s="6" t="str">
        <f t="shared" si="5"/>
        <v/>
      </c>
      <c r="F59" s="7" t="str">
        <f t="shared" si="5"/>
        <v/>
      </c>
      <c r="G59" s="7" t="str">
        <f t="shared" si="5"/>
        <v/>
      </c>
      <c r="H59" s="7" t="str">
        <f t="shared" si="5"/>
        <v/>
      </c>
      <c r="I59" s="7" t="str">
        <f t="shared" si="5"/>
        <v/>
      </c>
    </row>
    <row r="60" spans="1:9">
      <c r="A60" s="4" t="str">
        <f t="shared" si="5"/>
        <v/>
      </c>
      <c r="B60" s="5" t="str">
        <f t="shared" si="5"/>
        <v/>
      </c>
      <c r="C60" s="4" t="str">
        <f t="shared" si="5"/>
        <v/>
      </c>
      <c r="D60" s="6" t="str">
        <f t="shared" si="5"/>
        <v/>
      </c>
      <c r="E60" s="6" t="str">
        <f t="shared" si="5"/>
        <v/>
      </c>
      <c r="F60" s="7" t="str">
        <f t="shared" si="5"/>
        <v/>
      </c>
      <c r="G60" s="7" t="str">
        <f t="shared" si="5"/>
        <v/>
      </c>
      <c r="H60" s="7" t="str">
        <f t="shared" si="5"/>
        <v/>
      </c>
      <c r="I60" s="7" t="str">
        <f t="shared" si="5"/>
        <v/>
      </c>
    </row>
    <row r="61" spans="1:9">
      <c r="A61" s="4" t="str">
        <f t="shared" si="5"/>
        <v/>
      </c>
      <c r="B61" s="5" t="str">
        <f t="shared" si="5"/>
        <v/>
      </c>
      <c r="C61" s="4" t="str">
        <f t="shared" si="5"/>
        <v/>
      </c>
      <c r="D61" s="6" t="str">
        <f t="shared" si="5"/>
        <v/>
      </c>
      <c r="E61" s="6" t="str">
        <f t="shared" si="5"/>
        <v/>
      </c>
      <c r="F61" s="7" t="str">
        <f t="shared" si="5"/>
        <v/>
      </c>
      <c r="G61" s="7" t="str">
        <f t="shared" si="5"/>
        <v/>
      </c>
      <c r="H61" s="7" t="str">
        <f t="shared" si="5"/>
        <v/>
      </c>
      <c r="I61" s="7" t="str">
        <f t="shared" si="5"/>
        <v/>
      </c>
    </row>
    <row r="62" spans="1:9">
      <c r="A62" s="4" t="str">
        <f t="shared" si="5"/>
        <v/>
      </c>
      <c r="B62" s="5" t="str">
        <f t="shared" si="5"/>
        <v/>
      </c>
      <c r="C62" s="4" t="str">
        <f t="shared" si="5"/>
        <v/>
      </c>
      <c r="D62" s="6" t="str">
        <f t="shared" si="5"/>
        <v/>
      </c>
      <c r="E62" s="6" t="str">
        <f t="shared" si="5"/>
        <v/>
      </c>
      <c r="F62" s="7" t="str">
        <f t="shared" si="5"/>
        <v/>
      </c>
      <c r="G62" s="7" t="str">
        <f t="shared" si="5"/>
        <v/>
      </c>
      <c r="H62" s="7" t="str">
        <f t="shared" si="5"/>
        <v/>
      </c>
      <c r="I62" s="7" t="str">
        <f t="shared" si="5"/>
        <v/>
      </c>
    </row>
    <row r="63" spans="1:9">
      <c r="A63" s="4" t="str">
        <f t="shared" si="5"/>
        <v/>
      </c>
      <c r="B63" s="5" t="str">
        <f t="shared" si="5"/>
        <v/>
      </c>
      <c r="C63" s="4" t="str">
        <f t="shared" si="5"/>
        <v/>
      </c>
      <c r="D63" s="6" t="str">
        <f t="shared" si="5"/>
        <v/>
      </c>
      <c r="E63" s="6" t="str">
        <f t="shared" si="5"/>
        <v/>
      </c>
      <c r="F63" s="7" t="str">
        <f t="shared" si="5"/>
        <v/>
      </c>
      <c r="G63" s="7" t="str">
        <f t="shared" si="5"/>
        <v/>
      </c>
      <c r="H63" s="7" t="str">
        <f t="shared" si="5"/>
        <v/>
      </c>
      <c r="I63" s="7" t="str">
        <f t="shared" si="5"/>
        <v/>
      </c>
    </row>
  </sheetData>
  <dataConsolidate/>
  <phoneticPr fontId="2" type="noConversion"/>
  <conditionalFormatting sqref="A2:I63">
    <cfRule type="expression" dxfId="4" priority="1">
      <formula>MOD(ROW(),2)=0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hiftPower"/>
  <dimension ref="C26:S58"/>
  <sheetViews>
    <sheetView topLeftCell="A33" workbookViewId="0">
      <selection activeCell="K46" sqref="K46"/>
    </sheetView>
  </sheetViews>
  <sheetFormatPr defaultRowHeight="14.4"/>
  <cols>
    <col min="3" max="3" width="12.44140625" customWidth="1"/>
    <col min="4" max="4" width="12.77734375" customWidth="1"/>
    <col min="5" max="6" width="7.33203125" customWidth="1"/>
    <col min="7" max="9" width="5.21875" customWidth="1"/>
    <col min="10" max="12" width="7.33203125" customWidth="1"/>
    <col min="13" max="13" width="10.77734375" customWidth="1"/>
    <col min="14" max="14" width="15.44140625" customWidth="1"/>
    <col min="15" max="17" width="15.44140625" bestFit="1" customWidth="1"/>
    <col min="18" max="18" width="12.44140625" customWidth="1"/>
    <col min="19" max="19" width="12.33203125" customWidth="1"/>
    <col min="20" max="20" width="15.44140625" bestFit="1" customWidth="1"/>
    <col min="21" max="21" width="10.77734375" customWidth="1"/>
    <col min="22" max="22" width="9.88671875" bestFit="1" customWidth="1"/>
    <col min="23" max="25" width="7.33203125" customWidth="1"/>
    <col min="26" max="26" width="9.88671875" bestFit="1" customWidth="1"/>
    <col min="27" max="27" width="10.77734375" bestFit="1" customWidth="1"/>
  </cols>
  <sheetData>
    <row r="26" spans="12:13">
      <c r="L26" s="13"/>
      <c r="M26" s="13"/>
    </row>
    <row r="42" spans="12:19">
      <c r="R42" s="12"/>
      <c r="S42" s="13"/>
    </row>
    <row r="43" spans="12:19">
      <c r="L43" s="12"/>
      <c r="M43" s="13"/>
      <c r="R43" s="12"/>
      <c r="S43" s="13"/>
    </row>
    <row r="44" spans="12:19">
      <c r="L44" s="12"/>
      <c r="M44" s="13"/>
      <c r="R44" s="12"/>
      <c r="S44" s="13"/>
    </row>
    <row r="45" spans="12:19">
      <c r="L45" s="12"/>
      <c r="M45" s="13"/>
      <c r="R45" s="12"/>
      <c r="S45" s="13"/>
    </row>
    <row r="46" spans="12:19">
      <c r="L46" s="12"/>
      <c r="M46" s="13"/>
      <c r="R46" s="12"/>
      <c r="S46" s="13"/>
    </row>
    <row r="47" spans="12:19">
      <c r="L47" s="12"/>
      <c r="M47" s="13"/>
      <c r="R47" s="12"/>
      <c r="S47" s="13"/>
    </row>
    <row r="48" spans="12:19">
      <c r="R48" s="12"/>
      <c r="S48" s="13"/>
    </row>
    <row r="49" spans="3:19">
      <c r="C49" s="12"/>
      <c r="D49" s="13"/>
      <c r="R49" s="12"/>
      <c r="S49" s="13"/>
    </row>
    <row r="50" spans="3:19">
      <c r="C50" s="12"/>
      <c r="D50" s="13"/>
      <c r="R50" s="12"/>
      <c r="S50" s="13"/>
    </row>
    <row r="51" spans="3:19">
      <c r="C51" s="12"/>
      <c r="D51" s="13"/>
      <c r="L51" s="12"/>
      <c r="M51" s="13"/>
      <c r="R51" s="12"/>
      <c r="S51" s="13"/>
    </row>
    <row r="52" spans="3:19">
      <c r="C52" s="12"/>
      <c r="D52" s="13"/>
      <c r="L52" s="12"/>
      <c r="M52" s="13"/>
    </row>
    <row r="53" spans="3:19">
      <c r="C53" s="12"/>
      <c r="D53" s="13"/>
    </row>
    <row r="54" spans="3:19">
      <c r="C54" s="12"/>
      <c r="D54" s="13"/>
    </row>
    <row r="55" spans="3:19">
      <c r="C55" s="12"/>
      <c r="D55" s="13"/>
    </row>
    <row r="56" spans="3:19">
      <c r="C56" s="12"/>
      <c r="D56" s="13"/>
    </row>
    <row r="57" spans="3:19">
      <c r="C57" s="12"/>
      <c r="D57" s="13"/>
    </row>
    <row r="58" spans="3:19">
      <c r="C58" s="12"/>
      <c r="D58" s="13"/>
    </row>
  </sheetData>
  <dataConsolidate/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hiftGas"/>
  <dimension ref="A1:AD123"/>
  <sheetViews>
    <sheetView topLeftCell="B1" workbookViewId="0">
      <selection activeCell="T24" sqref="T24"/>
    </sheetView>
  </sheetViews>
  <sheetFormatPr defaultRowHeight="14.4"/>
  <cols>
    <col min="20" max="20" width="12.5546875" customWidth="1"/>
    <col min="21" max="21" width="12.77734375" customWidth="1"/>
    <col min="23" max="23" width="12.5546875" customWidth="1"/>
    <col min="24" max="24" width="12.33203125" customWidth="1"/>
  </cols>
  <sheetData>
    <row r="1" spans="1:25">
      <c r="A1" t="s">
        <v>106</v>
      </c>
      <c r="B1" t="s">
        <v>107</v>
      </c>
      <c r="D1" t="s">
        <v>106</v>
      </c>
      <c r="E1" t="s">
        <v>108</v>
      </c>
      <c r="G1" t="s">
        <v>106</v>
      </c>
      <c r="H1" t="s">
        <v>109</v>
      </c>
      <c r="J1" t="s">
        <v>110</v>
      </c>
      <c r="K1" t="s">
        <v>111</v>
      </c>
      <c r="L1" t="s">
        <v>113</v>
      </c>
      <c r="N1" s="4" t="s">
        <v>120</v>
      </c>
      <c r="O1" s="4" t="s">
        <v>123</v>
      </c>
      <c r="T1" s="4" t="s">
        <v>115</v>
      </c>
      <c r="U1" s="4" t="s">
        <v>111</v>
      </c>
      <c r="V1" s="4" t="s">
        <v>118</v>
      </c>
      <c r="X1" t="s">
        <v>115</v>
      </c>
      <c r="Y1" t="s">
        <v>119</v>
      </c>
    </row>
    <row r="2" spans="1:25">
      <c r="A2" t="str">
        <f>CONCATENATE(TEXT(Report!B2,"m/dd"),,"-",Report!C2)</f>
        <v>1/01-Day</v>
      </c>
      <c r="B2" s="11">
        <f>Report!F2+Report!G2</f>
        <v>18463</v>
      </c>
      <c r="D2" t="str">
        <f>CONCATENATE(TEXT(Report!B2,"m/dd"),,"-",Report!C2)</f>
        <v>1/01-Day</v>
      </c>
      <c r="E2" s="11">
        <f>Report!H2+Report!I2</f>
        <v>9431</v>
      </c>
      <c r="G2" t="str">
        <f>CONCATENATE(TEXT(Report!B2,"m/dd"),,"-",Report!C2)</f>
        <v>1/01-Day</v>
      </c>
      <c r="H2">
        <f>B2/E2</f>
        <v>1.9576927155126709</v>
      </c>
      <c r="J2" t="s">
        <v>89</v>
      </c>
      <c r="K2">
        <v>18463</v>
      </c>
      <c r="L2">
        <v>12</v>
      </c>
      <c r="N2" s="4">
        <f t="shared" ref="N2:N33" si="0">IF(ROW() &lt;= ROWS(MonthReport), INDEX(MonthReport,ROW(),10), 0)</f>
        <v>12</v>
      </c>
      <c r="O2" s="4">
        <f t="shared" ref="O2:O33" si="1">IF(ROW() &lt;= ROWS(MonthReport), INDEX(MonthReport,ROW(),11), 0)</f>
        <v>12</v>
      </c>
      <c r="T2" s="4">
        <v>1</v>
      </c>
      <c r="U2" s="7">
        <f>SUM(Report!F2:F63)</f>
        <v>9177</v>
      </c>
      <c r="V2" s="14">
        <f>U2/U4</f>
        <v>0.49704815035476357</v>
      </c>
      <c r="X2">
        <v>1</v>
      </c>
      <c r="Y2">
        <f>SUM(N2:N63)</f>
        <v>12</v>
      </c>
    </row>
    <row r="3" spans="1:25">
      <c r="A3" t="str">
        <f>CONCATENATE(TEXT(Report!B3,"m/dd"),,"-",Report!C3)</f>
        <v>-</v>
      </c>
      <c r="B3" s="11" t="e">
        <f>Report!F3+Report!G3</f>
        <v>#VALUE!</v>
      </c>
      <c r="D3" t="str">
        <f>CONCATENATE(TEXT(Report!B3,"m/dd"),,"-",Report!C3)</f>
        <v>-</v>
      </c>
      <c r="E3" s="11" t="e">
        <f>Report!H3+Report!I3</f>
        <v>#VALUE!</v>
      </c>
      <c r="G3" t="str">
        <f>CONCATENATE(TEXT(Report!B3,"m/dd"),,"-",Report!C3)</f>
        <v>-</v>
      </c>
      <c r="H3" t="e">
        <f t="shared" ref="H3:H63" si="2">B3/E3</f>
        <v>#VALUE!</v>
      </c>
      <c r="J3" t="s">
        <v>90</v>
      </c>
      <c r="K3">
        <v>18463</v>
      </c>
      <c r="L3">
        <v>12</v>
      </c>
      <c r="N3" s="4">
        <f t="shared" si="0"/>
        <v>0</v>
      </c>
      <c r="O3" s="4">
        <f t="shared" si="1"/>
        <v>0</v>
      </c>
      <c r="T3" s="4">
        <v>2</v>
      </c>
      <c r="U3" s="7">
        <f>SUM(Report!G2:G63)</f>
        <v>9286</v>
      </c>
      <c r="V3" s="14">
        <f>U3/U4</f>
        <v>0.50295184964523643</v>
      </c>
      <c r="X3">
        <v>2</v>
      </c>
      <c r="Y3">
        <f>SUM(O2:O63)</f>
        <v>12</v>
      </c>
    </row>
    <row r="4" spans="1:25">
      <c r="A4" t="str">
        <f>CONCATENATE(TEXT(Report!B4,"m/dd"),,"-",Report!C4)</f>
        <v>-</v>
      </c>
      <c r="B4" s="11" t="e">
        <f>Report!F4+Report!G4</f>
        <v>#VALUE!</v>
      </c>
      <c r="D4" t="str">
        <f>CONCATENATE(TEXT(Report!B4,"m/dd"),,"-",Report!C4)</f>
        <v>-</v>
      </c>
      <c r="E4" s="11" t="e">
        <f>Report!H4+Report!I4</f>
        <v>#VALUE!</v>
      </c>
      <c r="G4" t="str">
        <f>CONCATENATE(TEXT(Report!B4,"m/dd"),,"-",Report!C4)</f>
        <v>-</v>
      </c>
      <c r="H4" t="e">
        <f t="shared" si="2"/>
        <v>#VALUE!</v>
      </c>
      <c r="J4" t="s">
        <v>89</v>
      </c>
      <c r="K4">
        <v>17989</v>
      </c>
      <c r="L4">
        <v>12</v>
      </c>
      <c r="N4" s="4">
        <f t="shared" si="0"/>
        <v>0</v>
      </c>
      <c r="O4" s="4">
        <f t="shared" si="1"/>
        <v>0</v>
      </c>
      <c r="T4" s="4"/>
      <c r="U4" s="7">
        <f>U2+U3</f>
        <v>18463</v>
      </c>
      <c r="V4" s="4"/>
    </row>
    <row r="5" spans="1:25">
      <c r="A5" t="str">
        <f>CONCATENATE(TEXT(Report!B5,"m/dd"),,"-",Report!C5)</f>
        <v>-</v>
      </c>
      <c r="B5" s="11" t="e">
        <f>Report!F5+Report!G5</f>
        <v>#VALUE!</v>
      </c>
      <c r="D5" t="str">
        <f>CONCATENATE(TEXT(Report!B5,"m/dd"),,"-",Report!C5)</f>
        <v>-</v>
      </c>
      <c r="E5" s="11" t="e">
        <f>Report!H5+Report!I5</f>
        <v>#VALUE!</v>
      </c>
      <c r="G5" t="str">
        <f>CONCATENATE(TEXT(Report!B5,"m/dd"),,"-",Report!C5)</f>
        <v>-</v>
      </c>
      <c r="H5" t="e">
        <f t="shared" si="2"/>
        <v>#VALUE!</v>
      </c>
      <c r="J5" t="s">
        <v>90</v>
      </c>
      <c r="K5">
        <v>19450</v>
      </c>
      <c r="L5">
        <v>12</v>
      </c>
      <c r="N5" s="4">
        <f t="shared" si="0"/>
        <v>0</v>
      </c>
      <c r="O5" s="4">
        <f t="shared" si="1"/>
        <v>0</v>
      </c>
    </row>
    <row r="6" spans="1:25">
      <c r="A6" t="str">
        <f>CONCATENATE(TEXT(Report!B6,"m/dd"),,"-",Report!C6)</f>
        <v>-</v>
      </c>
      <c r="B6" s="11" t="e">
        <f>Report!F6+Report!G6</f>
        <v>#VALUE!</v>
      </c>
      <c r="D6" t="str">
        <f>CONCATENATE(TEXT(Report!B6,"m/dd"),,"-",Report!C6)</f>
        <v>-</v>
      </c>
      <c r="E6" s="11" t="e">
        <f>Report!H6+Report!I6</f>
        <v>#VALUE!</v>
      </c>
      <c r="G6" t="str">
        <f>CONCATENATE(TEXT(Report!B6,"m/dd"),,"-",Report!C6)</f>
        <v>-</v>
      </c>
      <c r="H6" t="e">
        <f t="shared" si="2"/>
        <v>#VALUE!</v>
      </c>
      <c r="J6" t="s">
        <v>95</v>
      </c>
      <c r="K6">
        <v>17933</v>
      </c>
      <c r="L6">
        <v>12</v>
      </c>
      <c r="N6" s="4">
        <f t="shared" si="0"/>
        <v>0</v>
      </c>
      <c r="O6" s="4">
        <f t="shared" si="1"/>
        <v>0</v>
      </c>
      <c r="T6" t="s">
        <v>116</v>
      </c>
      <c r="U6" t="s">
        <v>117</v>
      </c>
    </row>
    <row r="7" spans="1:25">
      <c r="A7" t="str">
        <f>CONCATENATE(TEXT(Report!B7,"m/dd"),,"-",Report!C7)</f>
        <v>-</v>
      </c>
      <c r="B7" s="11" t="e">
        <f>Report!F7+Report!G7</f>
        <v>#VALUE!</v>
      </c>
      <c r="D7" t="str">
        <f>CONCATENATE(TEXT(Report!B7,"m/dd"),,"-",Report!C7)</f>
        <v>-</v>
      </c>
      <c r="E7" s="11" t="e">
        <f>Report!H7+Report!I7</f>
        <v>#VALUE!</v>
      </c>
      <c r="G7" t="str">
        <f>CONCATENATE(TEXT(Report!B7,"m/dd"),,"-",Report!C7)</f>
        <v>-</v>
      </c>
      <c r="H7" t="e">
        <f t="shared" si="2"/>
        <v>#VALUE!</v>
      </c>
      <c r="J7" t="s">
        <v>90</v>
      </c>
      <c r="K7">
        <v>17958</v>
      </c>
      <c r="L7">
        <v>12</v>
      </c>
      <c r="N7" s="4">
        <f t="shared" si="0"/>
        <v>0</v>
      </c>
      <c r="O7" s="4">
        <f t="shared" si="1"/>
        <v>0</v>
      </c>
      <c r="T7">
        <v>1</v>
      </c>
      <c r="U7" s="11">
        <f>SUM(Report!H2:H63)</f>
        <v>9431</v>
      </c>
    </row>
    <row r="8" spans="1:25">
      <c r="A8" t="str">
        <f>CONCATENATE(TEXT(Report!B8,"m/dd"),,"-",Report!C8)</f>
        <v>-</v>
      </c>
      <c r="B8" s="11" t="e">
        <f>Report!F8+Report!G8</f>
        <v>#VALUE!</v>
      </c>
      <c r="D8" t="str">
        <f>CONCATENATE(TEXT(Report!B8,"m/dd"),,"-",Report!C8)</f>
        <v>-</v>
      </c>
      <c r="E8" s="11" t="e">
        <f>Report!H8+Report!I8</f>
        <v>#VALUE!</v>
      </c>
      <c r="G8" t="str">
        <f>CONCATENATE(TEXT(Report!B8,"m/dd"),,"-",Report!C8)</f>
        <v>-</v>
      </c>
      <c r="H8" t="e">
        <f t="shared" si="2"/>
        <v>#VALUE!</v>
      </c>
      <c r="J8" t="s">
        <v>91</v>
      </c>
      <c r="K8">
        <v>16048</v>
      </c>
      <c r="L8">
        <v>12</v>
      </c>
      <c r="N8" s="4">
        <f t="shared" si="0"/>
        <v>0</v>
      </c>
      <c r="O8" s="4">
        <f t="shared" si="1"/>
        <v>0</v>
      </c>
      <c r="T8">
        <v>2</v>
      </c>
      <c r="U8" s="11">
        <f>SUM(Report!I2:I63)</f>
        <v>0</v>
      </c>
    </row>
    <row r="9" spans="1:25">
      <c r="A9" t="str">
        <f>CONCATENATE(TEXT(Report!B9,"m/dd"),,"-",Report!C9)</f>
        <v>-</v>
      </c>
      <c r="B9" s="11" t="e">
        <f>Report!F9+Report!G9</f>
        <v>#VALUE!</v>
      </c>
      <c r="D9" t="str">
        <f>CONCATENATE(TEXT(Report!B9,"m/dd"),,"-",Report!C9)</f>
        <v>-</v>
      </c>
      <c r="E9" s="11" t="e">
        <f>Report!H9+Report!I9</f>
        <v>#VALUE!</v>
      </c>
      <c r="G9" t="str">
        <f>CONCATENATE(TEXT(Report!B9,"m/dd"),,"-",Report!C9)</f>
        <v>-</v>
      </c>
      <c r="H9" t="e">
        <f t="shared" si="2"/>
        <v>#VALUE!</v>
      </c>
      <c r="J9" t="s">
        <v>95</v>
      </c>
      <c r="K9">
        <v>14068</v>
      </c>
      <c r="L9">
        <v>12</v>
      </c>
      <c r="N9" s="4">
        <f t="shared" si="0"/>
        <v>0</v>
      </c>
      <c r="O9" s="4">
        <f t="shared" si="1"/>
        <v>0</v>
      </c>
    </row>
    <row r="10" spans="1:25">
      <c r="A10" t="str">
        <f>CONCATENATE(TEXT(Report!B10,"m/dd"),,"-",Report!C10)</f>
        <v>-</v>
      </c>
      <c r="B10" s="11" t="e">
        <f>Report!F10+Report!G10</f>
        <v>#VALUE!</v>
      </c>
      <c r="D10" t="str">
        <f>CONCATENATE(TEXT(Report!B10,"m/dd"),,"-",Report!C10)</f>
        <v>-</v>
      </c>
      <c r="E10" s="11" t="e">
        <f>Report!H10+Report!I10</f>
        <v>#VALUE!</v>
      </c>
      <c r="G10" t="str">
        <f>CONCATENATE(TEXT(Report!B10,"m/dd"),,"-",Report!C10)</f>
        <v>-</v>
      </c>
      <c r="H10" t="e">
        <f t="shared" si="2"/>
        <v>#VALUE!</v>
      </c>
      <c r="J10" t="s">
        <v>91</v>
      </c>
      <c r="K10">
        <v>14066</v>
      </c>
      <c r="L10">
        <v>12</v>
      </c>
      <c r="N10" s="4">
        <f t="shared" si="0"/>
        <v>0</v>
      </c>
      <c r="O10" s="4">
        <f t="shared" si="1"/>
        <v>0</v>
      </c>
    </row>
    <row r="11" spans="1:25">
      <c r="A11" t="str">
        <f>CONCATENATE(TEXT(Report!B11,"m/dd"),,"-",Report!C11)</f>
        <v>-</v>
      </c>
      <c r="B11" s="11" t="e">
        <f>Report!F11+Report!G11</f>
        <v>#VALUE!</v>
      </c>
      <c r="D11" t="str">
        <f>CONCATENATE(TEXT(Report!B11,"m/dd"),,"-",Report!C11)</f>
        <v>-</v>
      </c>
      <c r="E11" s="11" t="e">
        <f>Report!H11+Report!I11</f>
        <v>#VALUE!</v>
      </c>
      <c r="G11" t="str">
        <f>CONCATENATE(TEXT(Report!B11,"m/dd"),,"-",Report!C11)</f>
        <v>-</v>
      </c>
      <c r="H11" t="e">
        <f t="shared" si="2"/>
        <v>#VALUE!</v>
      </c>
      <c r="J11" t="s">
        <v>89</v>
      </c>
      <c r="K11">
        <v>14067</v>
      </c>
      <c r="L11">
        <v>12</v>
      </c>
      <c r="N11" s="4">
        <f t="shared" si="0"/>
        <v>0</v>
      </c>
      <c r="O11" s="4">
        <f t="shared" si="1"/>
        <v>0</v>
      </c>
      <c r="T11" s="15" t="s">
        <v>124</v>
      </c>
      <c r="U11" s="4" t="s">
        <v>112</v>
      </c>
      <c r="W11" s="15" t="s">
        <v>124</v>
      </c>
      <c r="X11" s="4" t="s">
        <v>114</v>
      </c>
    </row>
    <row r="12" spans="1:25">
      <c r="A12" t="str">
        <f>CONCATENATE(TEXT(Report!B12,"m/dd"),,"-",Report!C12)</f>
        <v>-</v>
      </c>
      <c r="B12" s="11" t="e">
        <f>Report!F12+Report!G12</f>
        <v>#VALUE!</v>
      </c>
      <c r="D12" t="str">
        <f>CONCATENATE(TEXT(Report!B12,"m/dd"),,"-",Report!C12)</f>
        <v>-</v>
      </c>
      <c r="E12" s="11" t="e">
        <f>Report!H12+Report!I12</f>
        <v>#VALUE!</v>
      </c>
      <c r="G12" t="str">
        <f>CONCATENATE(TEXT(Report!B12,"m/dd"),,"-",Report!C12)</f>
        <v>-</v>
      </c>
      <c r="H12" t="e">
        <f t="shared" si="2"/>
        <v>#VALUE!</v>
      </c>
      <c r="J12" t="s">
        <v>90</v>
      </c>
      <c r="K12">
        <v>14067</v>
      </c>
      <c r="L12">
        <v>12</v>
      </c>
      <c r="N12" s="4">
        <f t="shared" si="0"/>
        <v>0</v>
      </c>
      <c r="O12" s="4">
        <f t="shared" si="1"/>
        <v>0</v>
      </c>
      <c r="T12" s="16" t="s">
        <v>90</v>
      </c>
      <c r="U12" s="17">
        <v>18463</v>
      </c>
      <c r="W12" s="16" t="s">
        <v>90</v>
      </c>
      <c r="X12" s="17">
        <v>12</v>
      </c>
    </row>
    <row r="13" spans="1:25">
      <c r="A13" t="str">
        <f>CONCATENATE(TEXT(Report!B13,"m/dd"),,"-",Report!C13)</f>
        <v>-</v>
      </c>
      <c r="B13" s="11" t="e">
        <f>Report!F13+Report!G13</f>
        <v>#VALUE!</v>
      </c>
      <c r="D13" t="str">
        <f>CONCATENATE(TEXT(Report!B13,"m/dd"),,"-",Report!C13)</f>
        <v>-</v>
      </c>
      <c r="E13" s="11" t="e">
        <f>Report!H13+Report!I13</f>
        <v>#VALUE!</v>
      </c>
      <c r="G13" t="str">
        <f>CONCATENATE(TEXT(Report!B13,"m/dd"),,"-",Report!C13)</f>
        <v>-</v>
      </c>
      <c r="H13" t="e">
        <f t="shared" si="2"/>
        <v>#VALUE!</v>
      </c>
      <c r="J13" t="s">
        <v>97</v>
      </c>
      <c r="K13">
        <v>14067</v>
      </c>
      <c r="L13">
        <v>12</v>
      </c>
      <c r="N13" s="4">
        <f t="shared" si="0"/>
        <v>0</v>
      </c>
      <c r="O13" s="4">
        <f t="shared" si="1"/>
        <v>0</v>
      </c>
      <c r="T13" s="16" t="s">
        <v>89</v>
      </c>
      <c r="U13" s="17">
        <v>18463</v>
      </c>
      <c r="W13" s="16" t="s">
        <v>89</v>
      </c>
      <c r="X13" s="17">
        <v>12</v>
      </c>
    </row>
    <row r="14" spans="1:25">
      <c r="A14" t="str">
        <f>CONCATENATE(TEXT(Report!B14,"m/dd"),,"-",Report!C14)</f>
        <v>-</v>
      </c>
      <c r="B14" s="11" t="e">
        <f>Report!F14+Report!G14</f>
        <v>#VALUE!</v>
      </c>
      <c r="D14" t="str">
        <f>CONCATENATE(TEXT(Report!B14,"m/dd"),,"-",Report!C14)</f>
        <v>-</v>
      </c>
      <c r="E14" s="11" t="e">
        <f>Report!H14+Report!I14</f>
        <v>#VALUE!</v>
      </c>
      <c r="G14" t="str">
        <f>CONCATENATE(TEXT(Report!B14,"m/dd"),,"-",Report!C14)</f>
        <v>-</v>
      </c>
      <c r="H14" t="e">
        <f t="shared" si="2"/>
        <v>#VALUE!</v>
      </c>
      <c r="J14" t="s">
        <v>91</v>
      </c>
      <c r="K14">
        <v>14064</v>
      </c>
      <c r="L14">
        <v>12</v>
      </c>
      <c r="N14" s="4">
        <f t="shared" si="0"/>
        <v>0</v>
      </c>
      <c r="O14" s="4">
        <f t="shared" si="1"/>
        <v>0</v>
      </c>
      <c r="T14" s="16" t="s">
        <v>125</v>
      </c>
      <c r="U14" s="17">
        <v>36926</v>
      </c>
      <c r="W14" s="16" t="s">
        <v>125</v>
      </c>
      <c r="X14" s="17">
        <v>24</v>
      </c>
    </row>
    <row r="15" spans="1:25">
      <c r="A15" t="str">
        <f>CONCATENATE(TEXT(Report!B15,"m/dd"),,"-",Report!C15)</f>
        <v>-</v>
      </c>
      <c r="B15" s="11" t="e">
        <f>Report!F15+Report!G15</f>
        <v>#VALUE!</v>
      </c>
      <c r="D15" t="str">
        <f>CONCATENATE(TEXT(Report!B15,"m/dd"),,"-",Report!C15)</f>
        <v>-</v>
      </c>
      <c r="E15" s="11" t="e">
        <f>Report!H15+Report!I15</f>
        <v>#VALUE!</v>
      </c>
      <c r="G15" t="str">
        <f>CONCATENATE(TEXT(Report!B15,"m/dd"),,"-",Report!C15)</f>
        <v>-</v>
      </c>
      <c r="H15" t="e">
        <f t="shared" si="2"/>
        <v>#VALUE!</v>
      </c>
      <c r="J15" t="s">
        <v>90</v>
      </c>
      <c r="K15">
        <v>14062</v>
      </c>
      <c r="L15">
        <v>12</v>
      </c>
      <c r="N15" s="4">
        <f t="shared" si="0"/>
        <v>0</v>
      </c>
      <c r="O15" s="4">
        <f t="shared" si="1"/>
        <v>0</v>
      </c>
    </row>
    <row r="16" spans="1:25">
      <c r="A16" t="str">
        <f>CONCATENATE(TEXT(Report!B16,"m/dd"),,"-",Report!C16)</f>
        <v>-</v>
      </c>
      <c r="B16" s="11" t="e">
        <f>Report!F16+Report!G16</f>
        <v>#VALUE!</v>
      </c>
      <c r="D16" t="str">
        <f>CONCATENATE(TEXT(Report!B16,"m/dd"),,"-",Report!C16)</f>
        <v>-</v>
      </c>
      <c r="E16" s="11" t="e">
        <f>Report!H16+Report!I16</f>
        <v>#VALUE!</v>
      </c>
      <c r="G16" t="str">
        <f>CONCATENATE(TEXT(Report!B16,"m/dd"),,"-",Report!C16)</f>
        <v>-</v>
      </c>
      <c r="H16" t="e">
        <f t="shared" si="2"/>
        <v>#VALUE!</v>
      </c>
      <c r="J16" t="s">
        <v>91</v>
      </c>
      <c r="K16">
        <v>14065</v>
      </c>
      <c r="L16">
        <v>12</v>
      </c>
      <c r="N16" s="4">
        <f t="shared" si="0"/>
        <v>0</v>
      </c>
      <c r="O16" s="4">
        <f t="shared" si="1"/>
        <v>0</v>
      </c>
    </row>
    <row r="17" spans="1:15">
      <c r="A17" t="str">
        <f>CONCATENATE(TEXT(Report!B17,"m/dd"),,"-",Report!C17)</f>
        <v>-</v>
      </c>
      <c r="B17" s="11" t="e">
        <f>Report!F17+Report!G17</f>
        <v>#VALUE!</v>
      </c>
      <c r="D17" t="str">
        <f>CONCATENATE(TEXT(Report!B17,"m/dd"),,"-",Report!C17)</f>
        <v>-</v>
      </c>
      <c r="E17" s="11" t="e">
        <f>Report!H17+Report!I17</f>
        <v>#VALUE!</v>
      </c>
      <c r="G17" t="str">
        <f>CONCATENATE(TEXT(Report!B17,"m/dd"),,"-",Report!C17)</f>
        <v>-</v>
      </c>
      <c r="H17" t="e">
        <f t="shared" si="2"/>
        <v>#VALUE!</v>
      </c>
      <c r="J17" t="s">
        <v>95</v>
      </c>
      <c r="K17">
        <v>14062</v>
      </c>
      <c r="L17">
        <v>12</v>
      </c>
      <c r="N17" s="4">
        <f t="shared" si="0"/>
        <v>0</v>
      </c>
      <c r="O17" s="4">
        <f t="shared" si="1"/>
        <v>0</v>
      </c>
    </row>
    <row r="18" spans="1:15">
      <c r="A18" t="str">
        <f>CONCATENATE(TEXT(Report!B18,"m/dd"),,"-",Report!C18)</f>
        <v>-</v>
      </c>
      <c r="B18" s="11" t="e">
        <f>Report!F18+Report!G18</f>
        <v>#VALUE!</v>
      </c>
      <c r="D18" t="str">
        <f>CONCATENATE(TEXT(Report!B18,"m/dd"),,"-",Report!C18)</f>
        <v>-</v>
      </c>
      <c r="E18" s="11" t="e">
        <f>Report!H18+Report!I18</f>
        <v>#VALUE!</v>
      </c>
      <c r="G18" t="str">
        <f>CONCATENATE(TEXT(Report!B18,"m/dd"),,"-",Report!C18)</f>
        <v>-</v>
      </c>
      <c r="H18" t="e">
        <f t="shared" si="2"/>
        <v>#VALUE!</v>
      </c>
      <c r="J18" t="s">
        <v>91</v>
      </c>
      <c r="K18">
        <v>14066</v>
      </c>
      <c r="L18">
        <v>12</v>
      </c>
      <c r="N18" s="4">
        <f t="shared" si="0"/>
        <v>0</v>
      </c>
      <c r="O18" s="4">
        <f t="shared" si="1"/>
        <v>0</v>
      </c>
    </row>
    <row r="19" spans="1:15">
      <c r="A19" t="str">
        <f>CONCATENATE(TEXT(Report!B19,"m/dd"),,"-",Report!C19)</f>
        <v>-</v>
      </c>
      <c r="B19" s="11" t="e">
        <f>Report!F19+Report!G19</f>
        <v>#VALUE!</v>
      </c>
      <c r="D19" t="str">
        <f>CONCATENATE(TEXT(Report!B19,"m/dd"),,"-",Report!C19)</f>
        <v>-</v>
      </c>
      <c r="E19" s="11" t="e">
        <f>Report!H19+Report!I19</f>
        <v>#VALUE!</v>
      </c>
      <c r="G19" t="str">
        <f>CONCATENATE(TEXT(Report!B19,"m/dd"),,"-",Report!C19)</f>
        <v>-</v>
      </c>
      <c r="H19" t="e">
        <f t="shared" si="2"/>
        <v>#VALUE!</v>
      </c>
      <c r="J19" t="s">
        <v>97</v>
      </c>
      <c r="K19">
        <v>14067</v>
      </c>
      <c r="L19">
        <v>12</v>
      </c>
      <c r="N19" s="4">
        <f t="shared" si="0"/>
        <v>0</v>
      </c>
      <c r="O19" s="4">
        <f t="shared" si="1"/>
        <v>0</v>
      </c>
    </row>
    <row r="20" spans="1:15">
      <c r="A20" t="str">
        <f>CONCATENATE(TEXT(Report!B20,"m/dd"),,"-",Report!C20)</f>
        <v>-</v>
      </c>
      <c r="B20" s="11" t="e">
        <f>Report!F20+Report!G20</f>
        <v>#VALUE!</v>
      </c>
      <c r="D20" t="str">
        <f>CONCATENATE(TEXT(Report!B20,"m/dd"),,"-",Report!C20)</f>
        <v>-</v>
      </c>
      <c r="E20" s="11" t="e">
        <f>Report!H20+Report!I20</f>
        <v>#VALUE!</v>
      </c>
      <c r="G20" t="str">
        <f>CONCATENATE(TEXT(Report!B20,"m/dd"),,"-",Report!C20)</f>
        <v>-</v>
      </c>
      <c r="H20" t="e">
        <f t="shared" si="2"/>
        <v>#VALUE!</v>
      </c>
      <c r="J20" t="s">
        <v>90</v>
      </c>
      <c r="K20">
        <v>14062</v>
      </c>
      <c r="L20">
        <v>12</v>
      </c>
      <c r="N20" s="4">
        <f t="shared" si="0"/>
        <v>0</v>
      </c>
      <c r="O20" s="4">
        <f t="shared" si="1"/>
        <v>0</v>
      </c>
    </row>
    <row r="21" spans="1:15">
      <c r="A21" t="str">
        <f>CONCATENATE(TEXT(Report!B21,"m/dd"),,"-",Report!C21)</f>
        <v>-</v>
      </c>
      <c r="B21" s="11" t="e">
        <f>Report!F21+Report!G21</f>
        <v>#VALUE!</v>
      </c>
      <c r="D21" t="str">
        <f>CONCATENATE(TEXT(Report!B21,"m/dd"),,"-",Report!C21)</f>
        <v>-</v>
      </c>
      <c r="E21" s="11" t="e">
        <f>Report!H21+Report!I21</f>
        <v>#VALUE!</v>
      </c>
      <c r="G21" t="str">
        <f>CONCATENATE(TEXT(Report!B21,"m/dd"),,"-",Report!C21)</f>
        <v>-</v>
      </c>
      <c r="H21" t="e">
        <f t="shared" si="2"/>
        <v>#VALUE!</v>
      </c>
      <c r="J21" t="s">
        <v>97</v>
      </c>
      <c r="K21">
        <v>14067</v>
      </c>
      <c r="L21">
        <v>12</v>
      </c>
      <c r="N21" s="4">
        <f t="shared" si="0"/>
        <v>0</v>
      </c>
      <c r="O21" s="4">
        <f t="shared" si="1"/>
        <v>0</v>
      </c>
    </row>
    <row r="22" spans="1:15">
      <c r="A22" t="str">
        <f>CONCATENATE(TEXT(Report!B22,"m/dd"),,"-",Report!C22)</f>
        <v>-</v>
      </c>
      <c r="B22" s="11" t="e">
        <f>Report!F22+Report!G22</f>
        <v>#VALUE!</v>
      </c>
      <c r="D22" t="str">
        <f>CONCATENATE(TEXT(Report!B22,"m/dd"),,"-",Report!C22)</f>
        <v>-</v>
      </c>
      <c r="E22" s="11" t="e">
        <f>Report!H22+Report!I22</f>
        <v>#VALUE!</v>
      </c>
      <c r="G22" t="str">
        <f>CONCATENATE(TEXT(Report!B22,"m/dd"),,"-",Report!C22)</f>
        <v>-</v>
      </c>
      <c r="H22" t="e">
        <f t="shared" si="2"/>
        <v>#VALUE!</v>
      </c>
      <c r="J22" t="s">
        <v>95</v>
      </c>
      <c r="K22">
        <v>14066</v>
      </c>
      <c r="L22">
        <v>12</v>
      </c>
      <c r="N22" s="4">
        <f t="shared" si="0"/>
        <v>0</v>
      </c>
      <c r="O22" s="4">
        <f t="shared" si="1"/>
        <v>0</v>
      </c>
    </row>
    <row r="23" spans="1:15">
      <c r="A23" t="str">
        <f>CONCATENATE(TEXT(Report!B23,"m/dd"),,"-",Report!C23)</f>
        <v>-</v>
      </c>
      <c r="B23" s="11" t="e">
        <f>Report!F23+Report!G23</f>
        <v>#VALUE!</v>
      </c>
      <c r="D23" t="str">
        <f>CONCATENATE(TEXT(Report!B23,"m/dd"),,"-",Report!C23)</f>
        <v>-</v>
      </c>
      <c r="E23" s="11" t="e">
        <f>Report!H23+Report!I23</f>
        <v>#VALUE!</v>
      </c>
      <c r="G23" t="str">
        <f>CONCATENATE(TEXT(Report!B23,"m/dd"),,"-",Report!C23)</f>
        <v>-</v>
      </c>
      <c r="H23" t="e">
        <f t="shared" si="2"/>
        <v>#VALUE!</v>
      </c>
      <c r="J23" t="s">
        <v>90</v>
      </c>
      <c r="K23">
        <v>6183</v>
      </c>
      <c r="L23">
        <v>12</v>
      </c>
      <c r="N23" s="4">
        <f t="shared" si="0"/>
        <v>0</v>
      </c>
      <c r="O23" s="4">
        <f t="shared" si="1"/>
        <v>0</v>
      </c>
    </row>
    <row r="24" spans="1:15">
      <c r="A24" t="str">
        <f>CONCATENATE(TEXT(Report!B24,"m/dd"),,"-",Report!C24)</f>
        <v>-</v>
      </c>
      <c r="B24" s="11" t="e">
        <f>Report!F24+Report!G24</f>
        <v>#VALUE!</v>
      </c>
      <c r="D24" t="str">
        <f>CONCATENATE(TEXT(Report!B24,"m/dd"),,"-",Report!C24)</f>
        <v>-</v>
      </c>
      <c r="E24" s="11" t="e">
        <f>Report!H24+Report!I24</f>
        <v>#VALUE!</v>
      </c>
      <c r="G24" t="str">
        <f>CONCATENATE(TEXT(Report!B24,"m/dd"),,"-",Report!C24)</f>
        <v>-</v>
      </c>
      <c r="H24" t="e">
        <f t="shared" si="2"/>
        <v>#VALUE!</v>
      </c>
      <c r="J24" t="s">
        <v>91</v>
      </c>
      <c r="K24">
        <v>10148</v>
      </c>
      <c r="L24">
        <v>12</v>
      </c>
      <c r="N24" s="4">
        <f t="shared" si="0"/>
        <v>0</v>
      </c>
      <c r="O24" s="4">
        <f t="shared" si="1"/>
        <v>0</v>
      </c>
    </row>
    <row r="25" spans="1:15">
      <c r="A25" t="str">
        <f>CONCATENATE(TEXT(Report!B25,"m/dd"),,"-",Report!C25)</f>
        <v>-</v>
      </c>
      <c r="B25" s="11" t="e">
        <f>Report!F25+Report!G25</f>
        <v>#VALUE!</v>
      </c>
      <c r="D25" t="str">
        <f>CONCATENATE(TEXT(Report!B25,"m/dd"),,"-",Report!C25)</f>
        <v>-</v>
      </c>
      <c r="E25" s="11" t="e">
        <f>Report!H25+Report!I25</f>
        <v>#VALUE!</v>
      </c>
      <c r="G25" t="str">
        <f>CONCATENATE(TEXT(Report!B25,"m/dd"),,"-",Report!C25)</f>
        <v>-</v>
      </c>
      <c r="H25" t="e">
        <f t="shared" si="2"/>
        <v>#VALUE!</v>
      </c>
      <c r="J25" t="s">
        <v>95</v>
      </c>
      <c r="K25">
        <v>14067</v>
      </c>
      <c r="L25">
        <v>12</v>
      </c>
      <c r="N25" s="4">
        <f t="shared" si="0"/>
        <v>0</v>
      </c>
      <c r="O25" s="4">
        <f t="shared" si="1"/>
        <v>0</v>
      </c>
    </row>
    <row r="26" spans="1:15">
      <c r="A26" t="str">
        <f>CONCATENATE(TEXT(Report!B26,"m/dd"),,"-",Report!C26)</f>
        <v>-</v>
      </c>
      <c r="B26" s="11" t="e">
        <f>Report!F26+Report!G26</f>
        <v>#VALUE!</v>
      </c>
      <c r="D26" t="str">
        <f>CONCATENATE(TEXT(Report!B26,"m/dd"),,"-",Report!C26)</f>
        <v>-</v>
      </c>
      <c r="E26" s="11" t="e">
        <f>Report!H26+Report!I26</f>
        <v>#VALUE!</v>
      </c>
      <c r="G26" t="str">
        <f>CONCATENATE(TEXT(Report!B26,"m/dd"),,"-",Report!C26)</f>
        <v>-</v>
      </c>
      <c r="H26" t="e">
        <f t="shared" si="2"/>
        <v>#VALUE!</v>
      </c>
      <c r="J26" t="s">
        <v>97</v>
      </c>
      <c r="K26">
        <v>14434</v>
      </c>
      <c r="L26">
        <v>12</v>
      </c>
      <c r="N26" s="4">
        <f t="shared" si="0"/>
        <v>0</v>
      </c>
      <c r="O26" s="4">
        <f t="shared" si="1"/>
        <v>0</v>
      </c>
    </row>
    <row r="27" spans="1:15">
      <c r="A27" t="str">
        <f>CONCATENATE(TEXT(Report!B27,"m/dd"),,"-",Report!C27)</f>
        <v>-</v>
      </c>
      <c r="B27" s="11" t="e">
        <f>Report!F27+Report!G27</f>
        <v>#VALUE!</v>
      </c>
      <c r="D27" t="str">
        <f>CONCATENATE(TEXT(Report!B27,"m/dd"),,"-",Report!C27)</f>
        <v>-</v>
      </c>
      <c r="E27" s="11" t="e">
        <f>Report!H27+Report!I27</f>
        <v>#VALUE!</v>
      </c>
      <c r="G27" t="str">
        <f>CONCATENATE(TEXT(Report!B27,"m/dd"),,"-",Report!C27)</f>
        <v>-</v>
      </c>
      <c r="H27" t="e">
        <f t="shared" si="2"/>
        <v>#VALUE!</v>
      </c>
      <c r="J27" t="s">
        <v>91</v>
      </c>
      <c r="K27">
        <v>14107</v>
      </c>
      <c r="L27">
        <v>12</v>
      </c>
      <c r="N27" s="4">
        <f t="shared" si="0"/>
        <v>0</v>
      </c>
      <c r="O27" s="4">
        <f t="shared" si="1"/>
        <v>0</v>
      </c>
    </row>
    <row r="28" spans="1:15">
      <c r="A28" t="str">
        <f>CONCATENATE(TEXT(Report!B28,"m/dd"),,"-",Report!C28)</f>
        <v>-</v>
      </c>
      <c r="B28" s="11" t="e">
        <f>Report!F28+Report!G28</f>
        <v>#VALUE!</v>
      </c>
      <c r="D28" t="str">
        <f>CONCATENATE(TEXT(Report!B28,"m/dd"),,"-",Report!C28)</f>
        <v>-</v>
      </c>
      <c r="E28" s="11" t="e">
        <f>Report!H28+Report!I28</f>
        <v>#VALUE!</v>
      </c>
      <c r="G28" t="str">
        <f>CONCATENATE(TEXT(Report!B28,"m/dd"),,"-",Report!C28)</f>
        <v>-</v>
      </c>
      <c r="H28" t="e">
        <f t="shared" si="2"/>
        <v>#VALUE!</v>
      </c>
      <c r="J28" t="s">
        <v>90</v>
      </c>
      <c r="K28">
        <v>14139</v>
      </c>
      <c r="L28">
        <v>12</v>
      </c>
      <c r="N28" s="4">
        <f t="shared" si="0"/>
        <v>0</v>
      </c>
      <c r="O28" s="4">
        <f t="shared" si="1"/>
        <v>0</v>
      </c>
    </row>
    <row r="29" spans="1:15">
      <c r="A29" t="str">
        <f>CONCATENATE(TEXT(Report!B29,"m/dd"),,"-",Report!C29)</f>
        <v>-</v>
      </c>
      <c r="B29" s="11" t="e">
        <f>Report!F29+Report!G29</f>
        <v>#VALUE!</v>
      </c>
      <c r="D29" t="str">
        <f>CONCATENATE(TEXT(Report!B29,"m/dd"),,"-",Report!C29)</f>
        <v>-</v>
      </c>
      <c r="E29" s="11" t="e">
        <f>Report!H29+Report!I29</f>
        <v>#VALUE!</v>
      </c>
      <c r="G29" t="str">
        <f>CONCATENATE(TEXT(Report!B29,"m/dd"),,"-",Report!C29)</f>
        <v>-</v>
      </c>
      <c r="H29" t="e">
        <f t="shared" si="2"/>
        <v>#VALUE!</v>
      </c>
      <c r="J29" t="s">
        <v>97</v>
      </c>
      <c r="K29">
        <v>14106</v>
      </c>
      <c r="L29">
        <v>12</v>
      </c>
      <c r="N29" s="4">
        <f t="shared" si="0"/>
        <v>0</v>
      </c>
      <c r="O29" s="4">
        <f t="shared" si="1"/>
        <v>0</v>
      </c>
    </row>
    <row r="30" spans="1:15">
      <c r="A30" t="str">
        <f>CONCATENATE(TEXT(Report!B30,"m/dd"),,"-",Report!C30)</f>
        <v>-</v>
      </c>
      <c r="B30" s="11" t="e">
        <f>Report!F30+Report!G30</f>
        <v>#VALUE!</v>
      </c>
      <c r="D30" t="str">
        <f>CONCATENATE(TEXT(Report!B30,"m/dd"),,"-",Report!C30)</f>
        <v>-</v>
      </c>
      <c r="E30" s="11" t="e">
        <f>Report!H30+Report!I30</f>
        <v>#VALUE!</v>
      </c>
      <c r="G30" t="str">
        <f>CONCATENATE(TEXT(Report!B30,"m/dd"),,"-",Report!C30)</f>
        <v>-</v>
      </c>
      <c r="H30" t="e">
        <f t="shared" si="2"/>
        <v>#VALUE!</v>
      </c>
      <c r="J30" t="s">
        <v>90</v>
      </c>
      <c r="K30">
        <v>14105</v>
      </c>
      <c r="L30">
        <v>12</v>
      </c>
      <c r="N30" s="4">
        <f t="shared" si="0"/>
        <v>0</v>
      </c>
      <c r="O30" s="4">
        <f t="shared" si="1"/>
        <v>0</v>
      </c>
    </row>
    <row r="31" spans="1:15">
      <c r="A31" t="str">
        <f>CONCATENATE(TEXT(Report!B31,"m/dd"),,"-",Report!C31)</f>
        <v>-</v>
      </c>
      <c r="B31" s="11" t="e">
        <f>Report!F31+Report!G31</f>
        <v>#VALUE!</v>
      </c>
      <c r="D31" t="str">
        <f>CONCATENATE(TEXT(Report!B31,"m/dd"),,"-",Report!C31)</f>
        <v>-</v>
      </c>
      <c r="E31" s="11" t="e">
        <f>Report!H31+Report!I31</f>
        <v>#VALUE!</v>
      </c>
      <c r="G31" t="str">
        <f>CONCATENATE(TEXT(Report!B31,"m/dd"),,"-",Report!C31)</f>
        <v>-</v>
      </c>
      <c r="H31" t="e">
        <f t="shared" si="2"/>
        <v>#VALUE!</v>
      </c>
      <c r="J31" t="s">
        <v>95</v>
      </c>
      <c r="K31">
        <v>14109</v>
      </c>
      <c r="L31">
        <v>12</v>
      </c>
      <c r="N31" s="4">
        <f t="shared" si="0"/>
        <v>0</v>
      </c>
      <c r="O31" s="4">
        <f t="shared" si="1"/>
        <v>0</v>
      </c>
    </row>
    <row r="32" spans="1:15">
      <c r="A32" t="str">
        <f>CONCATENATE(TEXT(Report!B32,"m/dd"),,"-",Report!C32)</f>
        <v>-</v>
      </c>
      <c r="B32" s="11" t="e">
        <f>Report!F32+Report!G32</f>
        <v>#VALUE!</v>
      </c>
      <c r="D32" t="str">
        <f>CONCATENATE(TEXT(Report!B32,"m/dd"),,"-",Report!C32)</f>
        <v>-</v>
      </c>
      <c r="E32" s="11" t="e">
        <f>Report!H32+Report!I32</f>
        <v>#VALUE!</v>
      </c>
      <c r="G32" t="str">
        <f>CONCATENATE(TEXT(Report!B32,"m/dd"),,"-",Report!C32)</f>
        <v>-</v>
      </c>
      <c r="H32" t="e">
        <f t="shared" si="2"/>
        <v>#VALUE!</v>
      </c>
      <c r="J32" t="s">
        <v>95</v>
      </c>
      <c r="K32">
        <v>14107</v>
      </c>
      <c r="L32">
        <v>12</v>
      </c>
      <c r="N32" s="4">
        <f t="shared" si="0"/>
        <v>0</v>
      </c>
      <c r="O32" s="4">
        <f t="shared" si="1"/>
        <v>0</v>
      </c>
    </row>
    <row r="33" spans="1:15">
      <c r="A33" t="str">
        <f>CONCATENATE(TEXT(Report!B33,"m/dd"),,"-",Report!C33)</f>
        <v>-</v>
      </c>
      <c r="B33" s="11" t="e">
        <f>Report!F33+Report!G33</f>
        <v>#VALUE!</v>
      </c>
      <c r="D33" t="str">
        <f>CONCATENATE(TEXT(Report!B33,"m/dd"),,"-",Report!C33)</f>
        <v>-</v>
      </c>
      <c r="E33" s="11" t="e">
        <f>Report!H33+Report!I33</f>
        <v>#VALUE!</v>
      </c>
      <c r="G33" t="str">
        <f>CONCATENATE(TEXT(Report!B33,"m/dd"),,"-",Report!C33)</f>
        <v>-</v>
      </c>
      <c r="H33" t="e">
        <f t="shared" si="2"/>
        <v>#VALUE!</v>
      </c>
      <c r="J33" t="s">
        <v>91</v>
      </c>
      <c r="K33">
        <v>14106</v>
      </c>
      <c r="L33">
        <v>12</v>
      </c>
      <c r="N33" s="4">
        <f t="shared" si="0"/>
        <v>0</v>
      </c>
      <c r="O33" s="4">
        <f t="shared" si="1"/>
        <v>0</v>
      </c>
    </row>
    <row r="34" spans="1:15">
      <c r="A34" t="str">
        <f>CONCATENATE(TEXT(Report!B34,"m/dd"),,"-",Report!C34)</f>
        <v>-</v>
      </c>
      <c r="B34" s="11" t="e">
        <f>Report!F34+Report!G34</f>
        <v>#VALUE!</v>
      </c>
      <c r="D34" t="str">
        <f>CONCATENATE(TEXT(Report!B34,"m/dd"),,"-",Report!C34)</f>
        <v>-</v>
      </c>
      <c r="E34" s="11" t="e">
        <f>Report!H34+Report!I34</f>
        <v>#VALUE!</v>
      </c>
      <c r="G34" t="str">
        <f>CONCATENATE(TEXT(Report!B34,"m/dd"),,"-",Report!C34)</f>
        <v>-</v>
      </c>
      <c r="H34" t="e">
        <f t="shared" si="2"/>
        <v>#VALUE!</v>
      </c>
      <c r="J34" t="s">
        <v>89</v>
      </c>
      <c r="K34">
        <v>14107</v>
      </c>
      <c r="L34">
        <v>12</v>
      </c>
      <c r="N34" s="4">
        <f t="shared" ref="N34:N63" si="3">IF(ROW() &lt;= ROWS(MonthReport), INDEX(MonthReport,ROW(),10), 0)</f>
        <v>0</v>
      </c>
      <c r="O34" s="4">
        <f t="shared" ref="O34:O63" si="4">IF(ROW() &lt;= ROWS(MonthReport), INDEX(MonthReport,ROW(),11), 0)</f>
        <v>0</v>
      </c>
    </row>
    <row r="35" spans="1:15">
      <c r="A35" t="str">
        <f>CONCATENATE(TEXT(Report!B35,"m/dd"),,"-",Report!C35)</f>
        <v>-</v>
      </c>
      <c r="B35" s="11" t="e">
        <f>Report!F35+Report!G35</f>
        <v>#VALUE!</v>
      </c>
      <c r="D35" t="str">
        <f>CONCATENATE(TEXT(Report!B35,"m/dd"),,"-",Report!C35)</f>
        <v>-</v>
      </c>
      <c r="E35" s="11" t="e">
        <f>Report!H35+Report!I35</f>
        <v>#VALUE!</v>
      </c>
      <c r="G35" t="str">
        <f>CONCATENATE(TEXT(Report!B35,"m/dd"),,"-",Report!C35)</f>
        <v>-</v>
      </c>
      <c r="H35" t="e">
        <f t="shared" si="2"/>
        <v>#VALUE!</v>
      </c>
      <c r="J35" t="s">
        <v>92</v>
      </c>
      <c r="K35">
        <v>14108</v>
      </c>
      <c r="L35">
        <v>12</v>
      </c>
      <c r="N35" s="4">
        <f t="shared" si="3"/>
        <v>0</v>
      </c>
      <c r="O35" s="4">
        <f t="shared" si="4"/>
        <v>0</v>
      </c>
    </row>
    <row r="36" spans="1:15">
      <c r="A36" t="str">
        <f>CONCATENATE(TEXT(Report!B36,"m/dd"),,"-",Report!C36)</f>
        <v>-</v>
      </c>
      <c r="B36" s="11" t="e">
        <f>Report!F36+Report!G36</f>
        <v>#VALUE!</v>
      </c>
      <c r="D36" t="str">
        <f>CONCATENATE(TEXT(Report!B36,"m/dd"),,"-",Report!C36)</f>
        <v>-</v>
      </c>
      <c r="E36" s="11" t="e">
        <f>Report!H36+Report!I36</f>
        <v>#VALUE!</v>
      </c>
      <c r="G36" t="str">
        <f>CONCATENATE(TEXT(Report!B36,"m/dd"),,"-",Report!C36)</f>
        <v>-</v>
      </c>
      <c r="H36" t="e">
        <f t="shared" si="2"/>
        <v>#VALUE!</v>
      </c>
      <c r="J36" t="s">
        <v>90</v>
      </c>
      <c r="K36">
        <v>14109</v>
      </c>
      <c r="L36">
        <v>12</v>
      </c>
      <c r="N36" s="4">
        <f t="shared" si="3"/>
        <v>0</v>
      </c>
      <c r="O36" s="4">
        <f t="shared" si="4"/>
        <v>0</v>
      </c>
    </row>
    <row r="37" spans="1:15">
      <c r="A37" t="str">
        <f>CONCATENATE(TEXT(Report!B37,"m/dd"),,"-",Report!C37)</f>
        <v>-</v>
      </c>
      <c r="B37" s="11" t="e">
        <f>Report!F37+Report!G37</f>
        <v>#VALUE!</v>
      </c>
      <c r="D37" t="str">
        <f>CONCATENATE(TEXT(Report!B37,"m/dd"),,"-",Report!C37)</f>
        <v>-</v>
      </c>
      <c r="E37" s="11" t="e">
        <f>Report!H37+Report!I37</f>
        <v>#VALUE!</v>
      </c>
      <c r="G37" t="str">
        <f>CONCATENATE(TEXT(Report!B37,"m/dd"),,"-",Report!C37)</f>
        <v>-</v>
      </c>
      <c r="H37" t="e">
        <f t="shared" si="2"/>
        <v>#VALUE!</v>
      </c>
      <c r="J37" t="s">
        <v>97</v>
      </c>
      <c r="K37">
        <v>14108</v>
      </c>
      <c r="L37">
        <v>12</v>
      </c>
      <c r="N37" s="4">
        <f t="shared" si="3"/>
        <v>0</v>
      </c>
      <c r="O37" s="4">
        <f t="shared" si="4"/>
        <v>0</v>
      </c>
    </row>
    <row r="38" spans="1:15">
      <c r="A38" t="str">
        <f>CONCATENATE(TEXT(Report!B38,"m/dd"),,"-",Report!C38)</f>
        <v>-</v>
      </c>
      <c r="B38" s="11" t="e">
        <f>Report!F38+Report!G38</f>
        <v>#VALUE!</v>
      </c>
      <c r="D38" t="str">
        <f>CONCATENATE(TEXT(Report!B38,"m/dd"),,"-",Report!C38)</f>
        <v>-</v>
      </c>
      <c r="E38" s="11" t="e">
        <f>Report!H38+Report!I38</f>
        <v>#VALUE!</v>
      </c>
      <c r="G38" t="str">
        <f>CONCATENATE(TEXT(Report!B38,"m/dd"),,"-",Report!C38)</f>
        <v>-</v>
      </c>
      <c r="H38" t="e">
        <f t="shared" si="2"/>
        <v>#VALUE!</v>
      </c>
      <c r="J38" t="s">
        <v>90</v>
      </c>
      <c r="K38">
        <v>14104</v>
      </c>
      <c r="L38">
        <v>12</v>
      </c>
      <c r="N38" s="4">
        <f t="shared" si="3"/>
        <v>0</v>
      </c>
      <c r="O38" s="4">
        <f t="shared" si="4"/>
        <v>0</v>
      </c>
    </row>
    <row r="39" spans="1:15">
      <c r="A39" t="str">
        <f>CONCATENATE(TEXT(Report!B39,"m/dd"),,"-",Report!C39)</f>
        <v>-</v>
      </c>
      <c r="B39" s="11" t="e">
        <f>Report!F39+Report!G39</f>
        <v>#VALUE!</v>
      </c>
      <c r="D39" t="str">
        <f>CONCATENATE(TEXT(Report!B39,"m/dd"),,"-",Report!C39)</f>
        <v>-</v>
      </c>
      <c r="E39" s="11" t="e">
        <f>Report!H39+Report!I39</f>
        <v>#VALUE!</v>
      </c>
      <c r="G39" t="str">
        <f>CONCATENATE(TEXT(Report!B39,"m/dd"),,"-",Report!C39)</f>
        <v>-</v>
      </c>
      <c r="H39" t="e">
        <f t="shared" si="2"/>
        <v>#VALUE!</v>
      </c>
      <c r="J39" t="s">
        <v>95</v>
      </c>
      <c r="K39">
        <v>14105</v>
      </c>
      <c r="L39">
        <v>12</v>
      </c>
      <c r="N39" s="4">
        <f t="shared" si="3"/>
        <v>0</v>
      </c>
      <c r="O39" s="4">
        <f t="shared" si="4"/>
        <v>0</v>
      </c>
    </row>
    <row r="40" spans="1:15">
      <c r="A40" t="str">
        <f>CONCATENATE(TEXT(Report!B40,"m/dd"),,"-",Report!C40)</f>
        <v>-</v>
      </c>
      <c r="B40" s="11" t="e">
        <f>Report!F40+Report!G40</f>
        <v>#VALUE!</v>
      </c>
      <c r="D40" t="str">
        <f>CONCATENATE(TEXT(Report!B40,"m/dd"),,"-",Report!C40)</f>
        <v>-</v>
      </c>
      <c r="E40" s="11" t="e">
        <f>Report!H40+Report!I40</f>
        <v>#VALUE!</v>
      </c>
      <c r="G40" t="str">
        <f>CONCATENATE(TEXT(Report!B40,"m/dd"),,"-",Report!C40)</f>
        <v>-</v>
      </c>
      <c r="H40" t="e">
        <f t="shared" si="2"/>
        <v>#VALUE!</v>
      </c>
      <c r="J40" t="s">
        <v>91</v>
      </c>
      <c r="K40">
        <v>14107</v>
      </c>
      <c r="L40">
        <v>12</v>
      </c>
      <c r="N40" s="4">
        <f t="shared" si="3"/>
        <v>0</v>
      </c>
      <c r="O40" s="4">
        <f t="shared" si="4"/>
        <v>0</v>
      </c>
    </row>
    <row r="41" spans="1:15">
      <c r="A41" t="str">
        <f>CONCATENATE(TEXT(Report!B41,"m/dd"),,"-",Report!C41)</f>
        <v>-</v>
      </c>
      <c r="B41" s="11" t="e">
        <f>Report!F41+Report!G41</f>
        <v>#VALUE!</v>
      </c>
      <c r="D41" t="str">
        <f>CONCATENATE(TEXT(Report!B41,"m/dd"),,"-",Report!C41)</f>
        <v>-</v>
      </c>
      <c r="E41" s="11" t="e">
        <f>Report!H41+Report!I41</f>
        <v>#VALUE!</v>
      </c>
      <c r="G41" t="str">
        <f>CONCATENATE(TEXT(Report!B41,"m/dd"),,"-",Report!C41)</f>
        <v>-</v>
      </c>
      <c r="H41" t="e">
        <f t="shared" si="2"/>
        <v>#VALUE!</v>
      </c>
      <c r="J41" t="s">
        <v>95</v>
      </c>
      <c r="K41">
        <v>14107</v>
      </c>
      <c r="L41">
        <v>12</v>
      </c>
      <c r="N41" s="4">
        <f t="shared" si="3"/>
        <v>0</v>
      </c>
      <c r="O41" s="4">
        <f t="shared" si="4"/>
        <v>0</v>
      </c>
    </row>
    <row r="42" spans="1:15">
      <c r="A42" t="str">
        <f>CONCATENATE(TEXT(Report!B42,"m/dd"),,"-",Report!C42)</f>
        <v>-</v>
      </c>
      <c r="B42" s="11" t="e">
        <f>Report!F42+Report!G42</f>
        <v>#VALUE!</v>
      </c>
      <c r="D42" t="str">
        <f>CONCATENATE(TEXT(Report!B42,"m/dd"),,"-",Report!C42)</f>
        <v>-</v>
      </c>
      <c r="E42" s="11" t="e">
        <f>Report!H42+Report!I42</f>
        <v>#VALUE!</v>
      </c>
      <c r="G42" t="str">
        <f>CONCATENATE(TEXT(Report!B42,"m/dd"),,"-",Report!C42)</f>
        <v>-</v>
      </c>
      <c r="H42" t="e">
        <f t="shared" si="2"/>
        <v>#VALUE!</v>
      </c>
      <c r="J42" t="s">
        <v>97</v>
      </c>
      <c r="K42">
        <v>14107</v>
      </c>
      <c r="L42">
        <v>12</v>
      </c>
      <c r="N42" s="4">
        <f t="shared" si="3"/>
        <v>0</v>
      </c>
      <c r="O42" s="4">
        <f t="shared" si="4"/>
        <v>0</v>
      </c>
    </row>
    <row r="43" spans="1:15">
      <c r="A43" t="str">
        <f>CONCATENATE(TEXT(Report!B43,"m/dd"),,"-",Report!C43)</f>
        <v>-</v>
      </c>
      <c r="B43" s="11" t="e">
        <f>Report!F43+Report!G43</f>
        <v>#VALUE!</v>
      </c>
      <c r="D43" t="str">
        <f>CONCATENATE(TEXT(Report!B43,"m/dd"),,"-",Report!C43)</f>
        <v>-</v>
      </c>
      <c r="E43" s="11" t="e">
        <f>Report!H43+Report!I43</f>
        <v>#VALUE!</v>
      </c>
      <c r="G43" t="str">
        <f>CONCATENATE(TEXT(Report!B43,"m/dd"),,"-",Report!C43)</f>
        <v>-</v>
      </c>
      <c r="H43" t="e">
        <f t="shared" si="2"/>
        <v>#VALUE!</v>
      </c>
      <c r="J43" t="s">
        <v>91</v>
      </c>
      <c r="K43">
        <v>14107</v>
      </c>
      <c r="L43">
        <v>12</v>
      </c>
      <c r="N43" s="4">
        <f t="shared" si="3"/>
        <v>0</v>
      </c>
      <c r="O43" s="4">
        <f t="shared" si="4"/>
        <v>0</v>
      </c>
    </row>
    <row r="44" spans="1:15">
      <c r="A44" t="str">
        <f>CONCATENATE(TEXT(Report!B44,"m/dd"),,"-",Report!C44)</f>
        <v>-</v>
      </c>
      <c r="B44" s="11" t="e">
        <f>Report!F44+Report!G44</f>
        <v>#VALUE!</v>
      </c>
      <c r="D44" t="str">
        <f>CONCATENATE(TEXT(Report!B44,"m/dd"),,"-",Report!C44)</f>
        <v>-</v>
      </c>
      <c r="E44" s="11" t="e">
        <f>Report!H44+Report!I44</f>
        <v>#VALUE!</v>
      </c>
      <c r="G44" t="str">
        <f>CONCATENATE(TEXT(Report!B44,"m/dd"),,"-",Report!C44)</f>
        <v>-</v>
      </c>
      <c r="H44" t="e">
        <f t="shared" si="2"/>
        <v>#VALUE!</v>
      </c>
      <c r="J44" t="s">
        <v>97</v>
      </c>
      <c r="K44">
        <v>14106</v>
      </c>
      <c r="L44">
        <v>12</v>
      </c>
      <c r="N44" s="4">
        <f t="shared" si="3"/>
        <v>0</v>
      </c>
      <c r="O44" s="4">
        <f t="shared" si="4"/>
        <v>0</v>
      </c>
    </row>
    <row r="45" spans="1:15">
      <c r="A45" t="str">
        <f>CONCATENATE(TEXT(Report!B45,"m/dd"),,"-",Report!C45)</f>
        <v>-</v>
      </c>
      <c r="B45" s="11" t="e">
        <f>Report!F45+Report!G45</f>
        <v>#VALUE!</v>
      </c>
      <c r="D45" t="str">
        <f>CONCATENATE(TEXT(Report!B45,"m/dd"),,"-",Report!C45)</f>
        <v>-</v>
      </c>
      <c r="E45" s="11" t="e">
        <f>Report!H45+Report!I45</f>
        <v>#VALUE!</v>
      </c>
      <c r="G45" t="str">
        <f>CONCATENATE(TEXT(Report!B45,"m/dd"),,"-",Report!C45)</f>
        <v>-</v>
      </c>
      <c r="H45" t="e">
        <f t="shared" si="2"/>
        <v>#VALUE!</v>
      </c>
      <c r="J45" t="s">
        <v>90</v>
      </c>
      <c r="K45">
        <v>14106</v>
      </c>
      <c r="L45">
        <v>12</v>
      </c>
      <c r="N45" s="4">
        <f t="shared" si="3"/>
        <v>0</v>
      </c>
      <c r="O45" s="4">
        <f t="shared" si="4"/>
        <v>0</v>
      </c>
    </row>
    <row r="46" spans="1:15">
      <c r="A46" t="str">
        <f>CONCATENATE(TEXT(Report!B46,"m/dd"),,"-",Report!C46)</f>
        <v>-</v>
      </c>
      <c r="B46" s="11" t="e">
        <f>Report!F46+Report!G46</f>
        <v>#VALUE!</v>
      </c>
      <c r="D46" t="str">
        <f>CONCATENATE(TEXT(Report!B46,"m/dd"),,"-",Report!C46)</f>
        <v>-</v>
      </c>
      <c r="E46" s="11" t="e">
        <f>Report!H46+Report!I46</f>
        <v>#VALUE!</v>
      </c>
      <c r="G46" t="str">
        <f>CONCATENATE(TEXT(Report!B46,"m/dd"),,"-",Report!C46)</f>
        <v>-</v>
      </c>
      <c r="H46" t="e">
        <f t="shared" si="2"/>
        <v>#VALUE!</v>
      </c>
      <c r="J46" t="s">
        <v>90</v>
      </c>
      <c r="K46">
        <v>14107</v>
      </c>
      <c r="L46">
        <v>12</v>
      </c>
      <c r="N46" s="4">
        <f t="shared" si="3"/>
        <v>0</v>
      </c>
      <c r="O46" s="4">
        <f t="shared" si="4"/>
        <v>0</v>
      </c>
    </row>
    <row r="47" spans="1:15">
      <c r="A47" t="str">
        <f>CONCATENATE(TEXT(Report!B47,"m/dd"),,"-",Report!C47)</f>
        <v>-</v>
      </c>
      <c r="B47" s="11" t="e">
        <f>Report!F47+Report!G47</f>
        <v>#VALUE!</v>
      </c>
      <c r="D47" t="str">
        <f>CONCATENATE(TEXT(Report!B47,"m/dd"),,"-",Report!C47)</f>
        <v>-</v>
      </c>
      <c r="E47" s="11" t="e">
        <f>Report!H47+Report!I47</f>
        <v>#VALUE!</v>
      </c>
      <c r="G47" t="str">
        <f>CONCATENATE(TEXT(Report!B47,"m/dd"),,"-",Report!C47)</f>
        <v>-</v>
      </c>
      <c r="H47" t="e">
        <f t="shared" si="2"/>
        <v>#VALUE!</v>
      </c>
      <c r="J47" t="s">
        <v>95</v>
      </c>
      <c r="K47">
        <v>14108</v>
      </c>
      <c r="L47">
        <v>12</v>
      </c>
      <c r="N47" s="4">
        <f t="shared" si="3"/>
        <v>0</v>
      </c>
      <c r="O47" s="4">
        <f t="shared" si="4"/>
        <v>0</v>
      </c>
    </row>
    <row r="48" spans="1:15">
      <c r="A48" t="str">
        <f>CONCATENATE(TEXT(Report!B48,"m/dd"),,"-",Report!C48)</f>
        <v>-</v>
      </c>
      <c r="B48" s="11" t="e">
        <f>Report!F48+Report!G48</f>
        <v>#VALUE!</v>
      </c>
      <c r="D48" t="str">
        <f>CONCATENATE(TEXT(Report!B48,"m/dd"),,"-",Report!C48)</f>
        <v>-</v>
      </c>
      <c r="E48" s="11" t="e">
        <f>Report!H48+Report!I48</f>
        <v>#VALUE!</v>
      </c>
      <c r="G48" t="str">
        <f>CONCATENATE(TEXT(Report!B48,"m/dd"),,"-",Report!C48)</f>
        <v>-</v>
      </c>
      <c r="H48" t="e">
        <f t="shared" si="2"/>
        <v>#VALUE!</v>
      </c>
      <c r="J48" t="s">
        <v>91</v>
      </c>
      <c r="K48">
        <v>14107</v>
      </c>
      <c r="L48">
        <v>12</v>
      </c>
      <c r="N48" s="4">
        <f t="shared" si="3"/>
        <v>0</v>
      </c>
      <c r="O48" s="4">
        <f t="shared" si="4"/>
        <v>0</v>
      </c>
    </row>
    <row r="49" spans="1:30">
      <c r="A49" t="str">
        <f>CONCATENATE(TEXT(Report!B49,"m/dd"),,"-",Report!C49)</f>
        <v>-</v>
      </c>
      <c r="B49" s="11" t="e">
        <f>Report!F49+Report!G49</f>
        <v>#VALUE!</v>
      </c>
      <c r="D49" t="str">
        <f>CONCATENATE(TEXT(Report!B49,"m/dd"),,"-",Report!C49)</f>
        <v>-</v>
      </c>
      <c r="E49" s="11" t="e">
        <f>Report!H49+Report!I49</f>
        <v>#VALUE!</v>
      </c>
      <c r="G49" t="str">
        <f>CONCATENATE(TEXT(Report!B49,"m/dd"),,"-",Report!C49)</f>
        <v>-</v>
      </c>
      <c r="H49" t="e">
        <f t="shared" si="2"/>
        <v>#VALUE!</v>
      </c>
      <c r="J49" t="s">
        <v>95</v>
      </c>
      <c r="K49">
        <v>14109</v>
      </c>
      <c r="L49">
        <v>12</v>
      </c>
      <c r="N49" s="4">
        <f t="shared" si="3"/>
        <v>0</v>
      </c>
      <c r="O49" s="4">
        <f t="shared" si="4"/>
        <v>0</v>
      </c>
    </row>
    <row r="50" spans="1:30">
      <c r="A50" t="str">
        <f>CONCATENATE(TEXT(Report!B50,"m/dd"),,"-",Report!C50)</f>
        <v>-</v>
      </c>
      <c r="B50" s="11" t="e">
        <f>Report!F50+Report!G50</f>
        <v>#VALUE!</v>
      </c>
      <c r="D50" t="str">
        <f>CONCATENATE(TEXT(Report!B50,"m/dd"),,"-",Report!C50)</f>
        <v>-</v>
      </c>
      <c r="E50" s="11" t="e">
        <f>Report!H50+Report!I50</f>
        <v>#VALUE!</v>
      </c>
      <c r="G50" t="str">
        <f>CONCATENATE(TEXT(Report!B50,"m/dd"),,"-",Report!C50)</f>
        <v>-</v>
      </c>
      <c r="H50" t="e">
        <f t="shared" si="2"/>
        <v>#VALUE!</v>
      </c>
      <c r="J50" t="s">
        <v>91</v>
      </c>
      <c r="K50">
        <v>14107</v>
      </c>
      <c r="L50">
        <v>12</v>
      </c>
      <c r="N50" s="4">
        <f t="shared" si="3"/>
        <v>0</v>
      </c>
      <c r="O50" s="4">
        <f t="shared" si="4"/>
        <v>0</v>
      </c>
    </row>
    <row r="51" spans="1:30">
      <c r="A51" t="str">
        <f>CONCATENATE(TEXT(Report!B51,"m/dd"),,"-",Report!C51)</f>
        <v>-</v>
      </c>
      <c r="B51" s="11" t="e">
        <f>Report!F51+Report!G51</f>
        <v>#VALUE!</v>
      </c>
      <c r="D51" t="str">
        <f>CONCATENATE(TEXT(Report!B51,"m/dd"),,"-",Report!C51)</f>
        <v>-</v>
      </c>
      <c r="E51" s="11" t="e">
        <f>Report!H51+Report!I51</f>
        <v>#VALUE!</v>
      </c>
      <c r="G51" t="str">
        <f>CONCATENATE(TEXT(Report!B51,"m/dd"),,"-",Report!C51)</f>
        <v>-</v>
      </c>
      <c r="H51" t="e">
        <f t="shared" si="2"/>
        <v>#VALUE!</v>
      </c>
      <c r="J51" t="s">
        <v>97</v>
      </c>
      <c r="K51">
        <v>14104</v>
      </c>
      <c r="L51">
        <v>12</v>
      </c>
      <c r="N51" s="4">
        <f t="shared" si="3"/>
        <v>0</v>
      </c>
      <c r="O51" s="4">
        <f t="shared" si="4"/>
        <v>0</v>
      </c>
    </row>
    <row r="52" spans="1:30">
      <c r="A52" t="str">
        <f>CONCATENATE(TEXT(Report!B52,"m/dd"),,"-",Report!C52)</f>
        <v>-</v>
      </c>
      <c r="B52" s="11" t="e">
        <f>Report!F52+Report!G52</f>
        <v>#VALUE!</v>
      </c>
      <c r="D52" t="str">
        <f>CONCATENATE(TEXT(Report!B52,"m/dd"),,"-",Report!C52)</f>
        <v>-</v>
      </c>
      <c r="E52" s="11" t="e">
        <f>Report!H52+Report!I52</f>
        <v>#VALUE!</v>
      </c>
      <c r="G52" t="str">
        <f>CONCATENATE(TEXT(Report!B52,"m/dd"),,"-",Report!C52)</f>
        <v>-</v>
      </c>
      <c r="H52" t="e">
        <f t="shared" si="2"/>
        <v>#VALUE!</v>
      </c>
      <c r="J52" t="s">
        <v>97</v>
      </c>
      <c r="K52">
        <v>14110</v>
      </c>
      <c r="L52">
        <v>12</v>
      </c>
      <c r="N52" s="4">
        <f t="shared" si="3"/>
        <v>0</v>
      </c>
      <c r="O52" s="4">
        <f t="shared" si="4"/>
        <v>0</v>
      </c>
    </row>
    <row r="53" spans="1:30">
      <c r="A53" t="str">
        <f>CONCATENATE(TEXT(Report!B53,"m/dd"),,"-",Report!C53)</f>
        <v>-</v>
      </c>
      <c r="B53" s="11" t="e">
        <f>Report!F53+Report!G53</f>
        <v>#VALUE!</v>
      </c>
      <c r="D53" t="str">
        <f>CONCATENATE(TEXT(Report!B53,"m/dd"),,"-",Report!C53)</f>
        <v>-</v>
      </c>
      <c r="E53" s="11" t="e">
        <f>Report!H53+Report!I53</f>
        <v>#VALUE!</v>
      </c>
      <c r="G53" t="str">
        <f>CONCATENATE(TEXT(Report!B53,"m/dd"),,"-",Report!C53)</f>
        <v>-</v>
      </c>
      <c r="H53" t="e">
        <f t="shared" si="2"/>
        <v>#VALUE!</v>
      </c>
      <c r="J53" t="s">
        <v>90</v>
      </c>
      <c r="K53">
        <v>14106</v>
      </c>
      <c r="L53">
        <v>12</v>
      </c>
      <c r="N53" s="4">
        <f t="shared" si="3"/>
        <v>0</v>
      </c>
      <c r="O53" s="4">
        <f t="shared" si="4"/>
        <v>0</v>
      </c>
    </row>
    <row r="54" spans="1:30">
      <c r="A54" t="str">
        <f>CONCATENATE(TEXT(Report!B54,"m/dd"),,"-",Report!C54)</f>
        <v>-</v>
      </c>
      <c r="B54" s="11" t="e">
        <f>Report!F54+Report!G54</f>
        <v>#VALUE!</v>
      </c>
      <c r="D54" t="str">
        <f>CONCATENATE(TEXT(Report!B54,"m/dd"),,"-",Report!C54)</f>
        <v>-</v>
      </c>
      <c r="E54" s="11" t="e">
        <f>Report!H54+Report!I54</f>
        <v>#VALUE!</v>
      </c>
      <c r="G54" t="str">
        <f>CONCATENATE(TEXT(Report!B54,"m/dd"),,"-",Report!C54)</f>
        <v>-</v>
      </c>
      <c r="H54" t="e">
        <f t="shared" si="2"/>
        <v>#VALUE!</v>
      </c>
      <c r="J54" t="s">
        <v>90</v>
      </c>
      <c r="K54">
        <v>14106</v>
      </c>
      <c r="L54">
        <v>12</v>
      </c>
      <c r="N54" s="4">
        <f t="shared" si="3"/>
        <v>0</v>
      </c>
      <c r="O54" s="4">
        <f t="shared" si="4"/>
        <v>0</v>
      </c>
    </row>
    <row r="55" spans="1:30">
      <c r="A55" t="str">
        <f>CONCATENATE(TEXT(Report!B55,"m/dd"),,"-",Report!C55)</f>
        <v>-</v>
      </c>
      <c r="B55" s="11" t="e">
        <f>Report!F55+Report!G55</f>
        <v>#VALUE!</v>
      </c>
      <c r="D55" t="str">
        <f>CONCATENATE(TEXT(Report!B55,"m/dd"),,"-",Report!C55)</f>
        <v>-</v>
      </c>
      <c r="E55" s="11" t="e">
        <f>Report!H55+Report!I55</f>
        <v>#VALUE!</v>
      </c>
      <c r="G55" t="str">
        <f>CONCATENATE(TEXT(Report!B55,"m/dd"),,"-",Report!C55)</f>
        <v>-</v>
      </c>
      <c r="H55" t="e">
        <f t="shared" si="2"/>
        <v>#VALUE!</v>
      </c>
      <c r="J55" t="s">
        <v>95</v>
      </c>
      <c r="K55">
        <v>14109</v>
      </c>
      <c r="L55">
        <v>12</v>
      </c>
      <c r="N55" s="4">
        <f t="shared" si="3"/>
        <v>0</v>
      </c>
      <c r="O55" s="4">
        <f t="shared" si="4"/>
        <v>0</v>
      </c>
    </row>
    <row r="56" spans="1:30">
      <c r="A56" t="str">
        <f>CONCATENATE(TEXT(Report!B56,"m/dd"),,"-",Report!C56)</f>
        <v>-</v>
      </c>
      <c r="B56" s="11" t="e">
        <f>Report!F56+Report!G56</f>
        <v>#VALUE!</v>
      </c>
      <c r="D56" t="str">
        <f>CONCATENATE(TEXT(Report!B56,"m/dd"),,"-",Report!C56)</f>
        <v>-</v>
      </c>
      <c r="E56" s="11" t="e">
        <f>Report!H56+Report!I56</f>
        <v>#VALUE!</v>
      </c>
      <c r="G56" t="str">
        <f>CONCATENATE(TEXT(Report!B56,"m/dd"),,"-",Report!C56)</f>
        <v>-</v>
      </c>
      <c r="H56" t="e">
        <f t="shared" si="2"/>
        <v>#VALUE!</v>
      </c>
      <c r="J56" t="s">
        <v>91</v>
      </c>
      <c r="K56">
        <v>14109</v>
      </c>
      <c r="L56">
        <v>12</v>
      </c>
      <c r="N56" s="4">
        <f t="shared" si="3"/>
        <v>0</v>
      </c>
      <c r="O56" s="4">
        <f t="shared" si="4"/>
        <v>0</v>
      </c>
    </row>
    <row r="57" spans="1:30">
      <c r="A57" t="str">
        <f>CONCATENATE(TEXT(Report!B57,"m/dd"),,"-",Report!C57)</f>
        <v>-</v>
      </c>
      <c r="B57" s="11" t="e">
        <f>Report!F57+Report!G57</f>
        <v>#VALUE!</v>
      </c>
      <c r="D57" t="str">
        <f>CONCATENATE(TEXT(Report!B57,"m/dd"),,"-",Report!C57)</f>
        <v>-</v>
      </c>
      <c r="E57" s="11" t="e">
        <f>Report!H57+Report!I57</f>
        <v>#VALUE!</v>
      </c>
      <c r="G57" t="str">
        <f>CONCATENATE(TEXT(Report!B57,"m/dd"),,"-",Report!C57)</f>
        <v>-</v>
      </c>
      <c r="H57" t="e">
        <f t="shared" si="2"/>
        <v>#VALUE!</v>
      </c>
      <c r="J57" t="s">
        <v>95</v>
      </c>
      <c r="K57">
        <v>14109</v>
      </c>
      <c r="L57">
        <v>12</v>
      </c>
      <c r="N57" s="4">
        <f t="shared" si="3"/>
        <v>0</v>
      </c>
      <c r="O57" s="4">
        <f t="shared" si="4"/>
        <v>0</v>
      </c>
    </row>
    <row r="58" spans="1:30">
      <c r="A58" t="str">
        <f>CONCATENATE(TEXT(Report!B58,"m/dd"),,"-",Report!C58)</f>
        <v>-</v>
      </c>
      <c r="B58" s="11" t="e">
        <f>Report!F58+Report!G58</f>
        <v>#VALUE!</v>
      </c>
      <c r="D58" t="str">
        <f>CONCATENATE(TEXT(Report!B58,"m/dd"),,"-",Report!C58)</f>
        <v>-</v>
      </c>
      <c r="E58" s="11" t="e">
        <f>Report!H58+Report!I58</f>
        <v>#VALUE!</v>
      </c>
      <c r="G58" t="str">
        <f>CONCATENATE(TEXT(Report!B58,"m/dd"),,"-",Report!C58)</f>
        <v>-</v>
      </c>
      <c r="H58" t="e">
        <f t="shared" si="2"/>
        <v>#VALUE!</v>
      </c>
      <c r="J58" t="s">
        <v>91</v>
      </c>
      <c r="K58">
        <v>14110</v>
      </c>
      <c r="L58">
        <v>12</v>
      </c>
      <c r="N58" s="4">
        <f t="shared" si="3"/>
        <v>0</v>
      </c>
      <c r="O58" s="4">
        <f t="shared" si="4"/>
        <v>0</v>
      </c>
    </row>
    <row r="59" spans="1:30">
      <c r="A59" t="str">
        <f>CONCATENATE(TEXT(Report!B59,"m/dd"),,"-",Report!C59)</f>
        <v>-</v>
      </c>
      <c r="B59" s="11" t="e">
        <f>Report!F59+Report!G59</f>
        <v>#VALUE!</v>
      </c>
      <c r="D59" t="str">
        <f>CONCATENATE(TEXT(Report!B59,"m/dd"),,"-",Report!C59)</f>
        <v>-</v>
      </c>
      <c r="E59" s="11" t="e">
        <f>Report!H59+Report!I59</f>
        <v>#VALUE!</v>
      </c>
      <c r="G59" t="str">
        <f>CONCATENATE(TEXT(Report!B59,"m/dd"),,"-",Report!C59)</f>
        <v>-</v>
      </c>
      <c r="H59" t="e">
        <f t="shared" si="2"/>
        <v>#VALUE!</v>
      </c>
      <c r="J59" t="s">
        <v>97</v>
      </c>
      <c r="K59">
        <v>14104</v>
      </c>
      <c r="L59">
        <v>12</v>
      </c>
      <c r="N59" s="4">
        <f t="shared" si="3"/>
        <v>0</v>
      </c>
      <c r="O59" s="4">
        <f t="shared" si="4"/>
        <v>0</v>
      </c>
    </row>
    <row r="60" spans="1:30">
      <c r="A60" t="str">
        <f>CONCATENATE(TEXT(Report!B60,"m/dd"),,"-",Report!C60)</f>
        <v>-</v>
      </c>
      <c r="B60" s="11" t="e">
        <f>Report!F60+Report!G60</f>
        <v>#VALUE!</v>
      </c>
      <c r="D60" t="str">
        <f>CONCATENATE(TEXT(Report!B60,"m/dd"),,"-",Report!C60)</f>
        <v>-</v>
      </c>
      <c r="E60" s="11" t="e">
        <f>Report!H60+Report!I60</f>
        <v>#VALUE!</v>
      </c>
      <c r="G60" t="str">
        <f>CONCATENATE(TEXT(Report!B60,"m/dd"),,"-",Report!C60)</f>
        <v>-</v>
      </c>
      <c r="H60" t="e">
        <f t="shared" si="2"/>
        <v>#VALUE!</v>
      </c>
      <c r="J60" t="s">
        <v>97</v>
      </c>
      <c r="K60">
        <v>14108</v>
      </c>
      <c r="L60">
        <v>12</v>
      </c>
      <c r="N60" s="4">
        <f t="shared" si="3"/>
        <v>0</v>
      </c>
      <c r="O60" s="4">
        <f t="shared" si="4"/>
        <v>0</v>
      </c>
    </row>
    <row r="61" spans="1:30">
      <c r="A61" t="str">
        <f>CONCATENATE(TEXT(Report!B61,"m/dd"),,"-",Report!C61)</f>
        <v>-</v>
      </c>
      <c r="B61" s="11" t="e">
        <f>Report!F61+Report!G61</f>
        <v>#VALUE!</v>
      </c>
      <c r="D61" t="str">
        <f>CONCATENATE(TEXT(Report!B61,"m/dd"),,"-",Report!C61)</f>
        <v>-</v>
      </c>
      <c r="E61" s="11" t="e">
        <f>Report!H61+Report!I61</f>
        <v>#VALUE!</v>
      </c>
      <c r="G61" t="str">
        <f>CONCATENATE(TEXT(Report!B61,"m/dd"),,"-",Report!C61)</f>
        <v>-</v>
      </c>
      <c r="H61" t="e">
        <f t="shared" si="2"/>
        <v>#VALUE!</v>
      </c>
      <c r="J61" t="s">
        <v>90</v>
      </c>
      <c r="K61">
        <v>14109</v>
      </c>
      <c r="L61">
        <v>12</v>
      </c>
      <c r="N61" s="4">
        <f t="shared" si="3"/>
        <v>0</v>
      </c>
      <c r="O61" s="4">
        <f t="shared" si="4"/>
        <v>0</v>
      </c>
    </row>
    <row r="62" spans="1:30">
      <c r="A62" t="str">
        <f>CONCATENATE(TEXT(Report!B62,"m/dd"),,"-",Report!C62)</f>
        <v>-</v>
      </c>
      <c r="B62" s="11" t="e">
        <f>Report!F62+Report!G62</f>
        <v>#VALUE!</v>
      </c>
      <c r="D62" t="str">
        <f>CONCATENATE(TEXT(Report!B62,"m/dd"),,"-",Report!C62)</f>
        <v>-</v>
      </c>
      <c r="E62" s="11" t="e">
        <f>Report!H62+Report!I62</f>
        <v>#VALUE!</v>
      </c>
      <c r="G62" t="str">
        <f>CONCATENATE(TEXT(Report!B62,"m/dd"),,"-",Report!C62)</f>
        <v>-</v>
      </c>
      <c r="H62" t="e">
        <f t="shared" si="2"/>
        <v>#VALUE!</v>
      </c>
      <c r="J62" t="s">
        <v>95</v>
      </c>
      <c r="K62">
        <v>14108</v>
      </c>
      <c r="L62">
        <v>12</v>
      </c>
      <c r="N62" s="4">
        <f t="shared" si="3"/>
        <v>0</v>
      </c>
      <c r="O62" s="4">
        <f t="shared" si="4"/>
        <v>0</v>
      </c>
    </row>
    <row r="63" spans="1:30">
      <c r="A63" t="str">
        <f>CONCATENATE(TEXT(Report!B63,"m/dd"),,"-",Report!C63)</f>
        <v>-</v>
      </c>
      <c r="B63" s="11" t="e">
        <f>Report!F63+Report!G63</f>
        <v>#VALUE!</v>
      </c>
      <c r="D63" t="str">
        <f>CONCATENATE(TEXT(Report!B63,"m/dd"),,"-",Report!C63)</f>
        <v>-</v>
      </c>
      <c r="E63" s="11" t="e">
        <f>Report!H63+Report!I63</f>
        <v>#VALUE!</v>
      </c>
      <c r="G63" t="str">
        <f>CONCATENATE(TEXT(Report!B63,"m/dd"),,"-",Report!C63)</f>
        <v>-</v>
      </c>
      <c r="H63" t="e">
        <f t="shared" si="2"/>
        <v>#VALUE!</v>
      </c>
      <c r="J63" t="s">
        <v>90</v>
      </c>
      <c r="K63">
        <v>18463</v>
      </c>
      <c r="L63">
        <v>12</v>
      </c>
      <c r="N63" s="4">
        <f t="shared" si="3"/>
        <v>0</v>
      </c>
      <c r="O63" s="4">
        <f t="shared" si="4"/>
        <v>0</v>
      </c>
      <c r="AC63" t="str">
        <f>CONCATENATE(TEXT(Report!B63,"m/dd"),,"-",Report!C63)</f>
        <v>-</v>
      </c>
      <c r="AD63" s="11" t="e">
        <f>Report!H63+Report!I63</f>
        <v>#VALUE!</v>
      </c>
    </row>
    <row r="64" spans="1:30">
      <c r="J64" t="s">
        <v>92</v>
      </c>
      <c r="K64">
        <v>18369</v>
      </c>
      <c r="L64">
        <v>12</v>
      </c>
      <c r="N64" s="18">
        <f>SUM(N2:N63)</f>
        <v>12</v>
      </c>
      <c r="O64" s="18">
        <f>SUM(O2:O63)</f>
        <v>12</v>
      </c>
    </row>
    <row r="65" spans="10:12">
      <c r="J65" t="s">
        <v>94</v>
      </c>
      <c r="K65">
        <v>17989</v>
      </c>
      <c r="L65">
        <v>12</v>
      </c>
    </row>
    <row r="66" spans="10:12">
      <c r="J66" t="s">
        <v>93</v>
      </c>
      <c r="K66">
        <v>19450</v>
      </c>
      <c r="L66">
        <v>12</v>
      </c>
    </row>
    <row r="67" spans="10:12">
      <c r="J67" t="s">
        <v>96</v>
      </c>
      <c r="K67">
        <v>17933</v>
      </c>
      <c r="L67">
        <v>12</v>
      </c>
    </row>
    <row r="68" spans="10:12">
      <c r="J68" t="s">
        <v>93</v>
      </c>
      <c r="K68">
        <v>17958</v>
      </c>
      <c r="L68">
        <v>12</v>
      </c>
    </row>
    <row r="69" spans="10:12">
      <c r="J69" t="s">
        <v>92</v>
      </c>
      <c r="K69">
        <v>16048</v>
      </c>
      <c r="L69">
        <v>12</v>
      </c>
    </row>
    <row r="70" spans="10:12">
      <c r="J70" t="s">
        <v>96</v>
      </c>
      <c r="K70">
        <v>14068</v>
      </c>
      <c r="L70">
        <v>12</v>
      </c>
    </row>
    <row r="71" spans="10:12">
      <c r="J71" t="s">
        <v>92</v>
      </c>
      <c r="K71">
        <v>14066</v>
      </c>
      <c r="L71">
        <v>12</v>
      </c>
    </row>
    <row r="72" spans="10:12">
      <c r="J72" t="s">
        <v>92</v>
      </c>
      <c r="K72">
        <v>14067</v>
      </c>
      <c r="L72">
        <v>12</v>
      </c>
    </row>
    <row r="73" spans="10:12">
      <c r="J73" t="s">
        <v>93</v>
      </c>
      <c r="K73">
        <v>14067</v>
      </c>
      <c r="L73">
        <v>12</v>
      </c>
    </row>
    <row r="74" spans="10:12">
      <c r="J74" t="s">
        <v>89</v>
      </c>
      <c r="K74">
        <v>14067</v>
      </c>
      <c r="L74">
        <v>12</v>
      </c>
    </row>
    <row r="75" spans="10:12">
      <c r="J75" t="s">
        <v>96</v>
      </c>
      <c r="K75">
        <v>14064</v>
      </c>
      <c r="L75">
        <v>12</v>
      </c>
    </row>
    <row r="76" spans="10:12">
      <c r="J76" t="s">
        <v>93</v>
      </c>
      <c r="K76">
        <v>14062</v>
      </c>
      <c r="L76">
        <v>12</v>
      </c>
    </row>
    <row r="77" spans="10:12">
      <c r="J77" t="s">
        <v>92</v>
      </c>
      <c r="K77">
        <v>14065</v>
      </c>
      <c r="L77">
        <v>12</v>
      </c>
    </row>
    <row r="78" spans="10:12">
      <c r="J78" t="s">
        <v>96</v>
      </c>
      <c r="K78">
        <v>14062</v>
      </c>
      <c r="L78">
        <v>12</v>
      </c>
    </row>
    <row r="79" spans="10:12">
      <c r="J79" t="s">
        <v>92</v>
      </c>
      <c r="K79">
        <v>14066</v>
      </c>
      <c r="L79">
        <v>12</v>
      </c>
    </row>
    <row r="80" spans="10:12">
      <c r="J80" t="s">
        <v>89</v>
      </c>
      <c r="K80">
        <v>14067</v>
      </c>
      <c r="L80">
        <v>12</v>
      </c>
    </row>
    <row r="81" spans="10:12">
      <c r="J81" t="s">
        <v>93</v>
      </c>
      <c r="K81">
        <v>14062</v>
      </c>
      <c r="L81">
        <v>12</v>
      </c>
    </row>
    <row r="82" spans="10:12">
      <c r="J82" t="s">
        <v>89</v>
      </c>
      <c r="K82">
        <v>14067</v>
      </c>
      <c r="L82">
        <v>12</v>
      </c>
    </row>
    <row r="83" spans="10:12">
      <c r="J83" t="s">
        <v>96</v>
      </c>
      <c r="K83">
        <v>14066</v>
      </c>
      <c r="L83">
        <v>12</v>
      </c>
    </row>
    <row r="84" spans="10:12">
      <c r="J84" t="s">
        <v>93</v>
      </c>
      <c r="K84">
        <v>6183</v>
      </c>
      <c r="L84">
        <v>12</v>
      </c>
    </row>
    <row r="85" spans="10:12">
      <c r="J85" t="s">
        <v>92</v>
      </c>
      <c r="K85">
        <v>10148</v>
      </c>
      <c r="L85">
        <v>12</v>
      </c>
    </row>
    <row r="86" spans="10:12">
      <c r="J86" t="s">
        <v>96</v>
      </c>
      <c r="K86">
        <v>14067</v>
      </c>
      <c r="L86">
        <v>12</v>
      </c>
    </row>
    <row r="87" spans="10:12">
      <c r="J87" t="s">
        <v>89</v>
      </c>
      <c r="K87">
        <v>14434</v>
      </c>
      <c r="L87">
        <v>12</v>
      </c>
    </row>
    <row r="88" spans="10:12">
      <c r="J88" t="s">
        <v>92</v>
      </c>
      <c r="K88">
        <v>14107</v>
      </c>
      <c r="L88">
        <v>12</v>
      </c>
    </row>
    <row r="89" spans="10:12">
      <c r="J89" t="s">
        <v>93</v>
      </c>
      <c r="K89">
        <v>14139</v>
      </c>
      <c r="L89">
        <v>12</v>
      </c>
    </row>
    <row r="90" spans="10:12">
      <c r="J90" t="s">
        <v>89</v>
      </c>
      <c r="K90">
        <v>14106</v>
      </c>
      <c r="L90">
        <v>12</v>
      </c>
    </row>
    <row r="91" spans="10:12">
      <c r="J91" t="s">
        <v>93</v>
      </c>
      <c r="K91">
        <v>14105</v>
      </c>
      <c r="L91">
        <v>12</v>
      </c>
    </row>
    <row r="92" spans="10:12">
      <c r="J92" t="s">
        <v>96</v>
      </c>
      <c r="K92">
        <v>14109</v>
      </c>
      <c r="L92">
        <v>12</v>
      </c>
    </row>
    <row r="93" spans="10:12">
      <c r="J93" t="s">
        <v>96</v>
      </c>
      <c r="K93">
        <v>14107</v>
      </c>
      <c r="L93">
        <v>12</v>
      </c>
    </row>
    <row r="94" spans="10:12">
      <c r="J94" t="s">
        <v>92</v>
      </c>
      <c r="K94">
        <v>14106</v>
      </c>
      <c r="L94">
        <v>12</v>
      </c>
    </row>
    <row r="95" spans="10:12">
      <c r="J95" t="s">
        <v>90</v>
      </c>
      <c r="K95">
        <v>14107</v>
      </c>
      <c r="L95">
        <v>12</v>
      </c>
    </row>
    <row r="96" spans="10:12">
      <c r="J96" t="s">
        <v>95</v>
      </c>
      <c r="K96">
        <v>14108</v>
      </c>
      <c r="L96">
        <v>12</v>
      </c>
    </row>
    <row r="97" spans="10:12">
      <c r="J97" t="s">
        <v>93</v>
      </c>
      <c r="K97">
        <v>14109</v>
      </c>
      <c r="L97">
        <v>12</v>
      </c>
    </row>
    <row r="98" spans="10:12">
      <c r="J98" t="s">
        <v>89</v>
      </c>
      <c r="K98">
        <v>14108</v>
      </c>
      <c r="L98">
        <v>12</v>
      </c>
    </row>
    <row r="99" spans="10:12">
      <c r="J99" t="s">
        <v>93</v>
      </c>
      <c r="K99">
        <v>14104</v>
      </c>
      <c r="L99">
        <v>12</v>
      </c>
    </row>
    <row r="100" spans="10:12">
      <c r="J100" t="s">
        <v>96</v>
      </c>
      <c r="K100">
        <v>14105</v>
      </c>
      <c r="L100">
        <v>12</v>
      </c>
    </row>
    <row r="101" spans="10:12">
      <c r="J101" t="s">
        <v>92</v>
      </c>
      <c r="K101">
        <v>14107</v>
      </c>
      <c r="L101">
        <v>12</v>
      </c>
    </row>
    <row r="102" spans="10:12">
      <c r="J102" t="s">
        <v>96</v>
      </c>
      <c r="K102">
        <v>14107</v>
      </c>
      <c r="L102">
        <v>12</v>
      </c>
    </row>
    <row r="103" spans="10:12">
      <c r="J103" t="s">
        <v>89</v>
      </c>
      <c r="K103">
        <v>14107</v>
      </c>
      <c r="L103">
        <v>12</v>
      </c>
    </row>
    <row r="104" spans="10:12">
      <c r="J104" t="s">
        <v>92</v>
      </c>
      <c r="K104">
        <v>14107</v>
      </c>
      <c r="L104">
        <v>12</v>
      </c>
    </row>
    <row r="105" spans="10:12">
      <c r="J105" t="s">
        <v>89</v>
      </c>
      <c r="K105">
        <v>14106</v>
      </c>
      <c r="L105">
        <v>12</v>
      </c>
    </row>
    <row r="106" spans="10:12">
      <c r="J106" t="s">
        <v>93</v>
      </c>
      <c r="K106">
        <v>14106</v>
      </c>
      <c r="L106">
        <v>12</v>
      </c>
    </row>
    <row r="107" spans="10:12">
      <c r="J107" t="s">
        <v>93</v>
      </c>
      <c r="K107">
        <v>14107</v>
      </c>
      <c r="L107">
        <v>12</v>
      </c>
    </row>
    <row r="108" spans="10:12">
      <c r="J108" t="s">
        <v>96</v>
      </c>
      <c r="K108">
        <v>14108</v>
      </c>
      <c r="L108">
        <v>12</v>
      </c>
    </row>
    <row r="109" spans="10:12">
      <c r="J109" t="s">
        <v>92</v>
      </c>
      <c r="K109">
        <v>14107</v>
      </c>
      <c r="L109">
        <v>12</v>
      </c>
    </row>
    <row r="110" spans="10:12">
      <c r="J110" t="s">
        <v>96</v>
      </c>
      <c r="K110">
        <v>14109</v>
      </c>
      <c r="L110">
        <v>12</v>
      </c>
    </row>
    <row r="111" spans="10:12">
      <c r="J111" t="s">
        <v>92</v>
      </c>
      <c r="K111">
        <v>14107</v>
      </c>
      <c r="L111">
        <v>12</v>
      </c>
    </row>
    <row r="112" spans="10:12">
      <c r="J112" t="s">
        <v>89</v>
      </c>
      <c r="K112">
        <v>14104</v>
      </c>
      <c r="L112">
        <v>12</v>
      </c>
    </row>
    <row r="113" spans="10:12">
      <c r="J113" t="s">
        <v>89</v>
      </c>
      <c r="K113">
        <v>14110</v>
      </c>
      <c r="L113">
        <v>12</v>
      </c>
    </row>
    <row r="114" spans="10:12">
      <c r="J114" t="s">
        <v>93</v>
      </c>
      <c r="K114">
        <v>14106</v>
      </c>
      <c r="L114">
        <v>12</v>
      </c>
    </row>
    <row r="115" spans="10:12">
      <c r="J115" t="s">
        <v>93</v>
      </c>
      <c r="K115">
        <v>14106</v>
      </c>
      <c r="L115">
        <v>12</v>
      </c>
    </row>
    <row r="116" spans="10:12">
      <c r="J116" t="s">
        <v>96</v>
      </c>
      <c r="K116">
        <v>14109</v>
      </c>
      <c r="L116">
        <v>12</v>
      </c>
    </row>
    <row r="117" spans="10:12">
      <c r="J117" t="s">
        <v>92</v>
      </c>
      <c r="K117">
        <v>14109</v>
      </c>
      <c r="L117">
        <v>12</v>
      </c>
    </row>
    <row r="118" spans="10:12">
      <c r="J118" t="s">
        <v>96</v>
      </c>
      <c r="K118">
        <v>14109</v>
      </c>
      <c r="L118">
        <v>12</v>
      </c>
    </row>
    <row r="119" spans="10:12">
      <c r="J119" t="s">
        <v>92</v>
      </c>
      <c r="K119">
        <v>14110</v>
      </c>
      <c r="L119">
        <v>12</v>
      </c>
    </row>
    <row r="120" spans="10:12">
      <c r="J120" t="s">
        <v>89</v>
      </c>
      <c r="K120">
        <v>14104</v>
      </c>
      <c r="L120">
        <v>12</v>
      </c>
    </row>
    <row r="121" spans="10:12">
      <c r="J121" t="s">
        <v>89</v>
      </c>
      <c r="K121">
        <v>14108</v>
      </c>
      <c r="L121">
        <v>12</v>
      </c>
    </row>
    <row r="122" spans="10:12">
      <c r="J122" t="s">
        <v>93</v>
      </c>
      <c r="K122">
        <v>14109</v>
      </c>
      <c r="L122">
        <v>12</v>
      </c>
    </row>
    <row r="123" spans="10:12">
      <c r="J123" t="s">
        <v>96</v>
      </c>
      <c r="K123">
        <v>14108</v>
      </c>
      <c r="L123">
        <v>12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53"/>
  <sheetViews>
    <sheetView topLeftCell="A170" workbookViewId="0">
      <selection activeCell="J192" sqref="J192"/>
    </sheetView>
  </sheetViews>
  <sheetFormatPr defaultRowHeight="14.4"/>
  <cols>
    <col min="2" max="2" width="10.88671875" customWidth="1"/>
  </cols>
  <sheetData>
    <row r="2" spans="1:9">
      <c r="A2" t="s">
        <v>9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18</v>
      </c>
      <c r="I2" t="s">
        <v>19</v>
      </c>
    </row>
    <row r="3" spans="1:9">
      <c r="A3" t="s">
        <v>10</v>
      </c>
      <c r="B3">
        <v>201701</v>
      </c>
      <c r="C3" s="8">
        <v>42736.333333333336</v>
      </c>
      <c r="D3" s="8">
        <v>42767.333333333336</v>
      </c>
      <c r="E3" s="8">
        <v>42775.588750000003</v>
      </c>
      <c r="F3" t="b">
        <v>0</v>
      </c>
      <c r="G3" t="s">
        <v>17</v>
      </c>
      <c r="H3" s="8">
        <v>42775.713622685187</v>
      </c>
      <c r="I3" t="s">
        <v>20</v>
      </c>
    </row>
    <row r="5" spans="1:9">
      <c r="A5" t="s">
        <v>21</v>
      </c>
      <c r="B5" t="s">
        <v>83</v>
      </c>
      <c r="C5" t="s">
        <v>84</v>
      </c>
      <c r="D5" t="s">
        <v>12</v>
      </c>
      <c r="E5" t="s">
        <v>85</v>
      </c>
      <c r="F5" t="s">
        <v>86</v>
      </c>
      <c r="G5" t="s">
        <v>13</v>
      </c>
    </row>
    <row r="6" spans="1:9">
      <c r="A6" t="s">
        <v>22</v>
      </c>
      <c r="B6" s="10">
        <v>42736</v>
      </c>
      <c r="C6">
        <v>8</v>
      </c>
      <c r="D6" s="8">
        <v>42736.333333333336</v>
      </c>
      <c r="E6" s="8">
        <v>42736.333344907405</v>
      </c>
      <c r="F6" s="8">
        <v>42736.827997685185</v>
      </c>
      <c r="G6" s="8">
        <v>42736.833333333336</v>
      </c>
    </row>
    <row r="7" spans="1:9">
      <c r="A7" t="s">
        <v>23</v>
      </c>
      <c r="B7" s="10">
        <v>42736</v>
      </c>
      <c r="C7">
        <v>20</v>
      </c>
      <c r="D7" s="8">
        <v>42736.833333333336</v>
      </c>
      <c r="E7" s="8">
        <v>42736.833344907405</v>
      </c>
      <c r="F7" s="8">
        <v>42737.327986111108</v>
      </c>
      <c r="G7" s="8">
        <v>42737.333333333336</v>
      </c>
    </row>
    <row r="8" spans="1:9">
      <c r="A8" t="s">
        <v>24</v>
      </c>
      <c r="B8" s="10">
        <v>42737</v>
      </c>
      <c r="C8">
        <v>8</v>
      </c>
      <c r="D8" s="8">
        <v>42737.333333333336</v>
      </c>
      <c r="E8" s="8">
        <v>42737.333333333336</v>
      </c>
      <c r="F8" s="8">
        <v>42737.827962962961</v>
      </c>
      <c r="G8" s="8">
        <v>42737.833333333336</v>
      </c>
    </row>
    <row r="9" spans="1:9">
      <c r="A9" t="s">
        <v>25</v>
      </c>
      <c r="B9" s="10">
        <v>42737</v>
      </c>
      <c r="C9">
        <v>20</v>
      </c>
      <c r="D9" s="8">
        <v>42737.833333333336</v>
      </c>
      <c r="E9" s="8">
        <v>42737.833333333336</v>
      </c>
      <c r="F9" s="8">
        <v>42738.328009259261</v>
      </c>
      <c r="G9" s="8">
        <v>42738.333333333336</v>
      </c>
    </row>
    <row r="10" spans="1:9">
      <c r="A10" t="s">
        <v>26</v>
      </c>
      <c r="B10" s="10">
        <v>42738</v>
      </c>
      <c r="C10">
        <v>8</v>
      </c>
      <c r="D10" s="8">
        <v>42738.333333333336</v>
      </c>
      <c r="E10" s="8">
        <v>42738.333344907405</v>
      </c>
      <c r="F10" s="8">
        <v>42728.821296296293</v>
      </c>
      <c r="G10" s="8">
        <v>42738.833333333336</v>
      </c>
    </row>
    <row r="11" spans="1:9">
      <c r="A11" t="s">
        <v>27</v>
      </c>
      <c r="B11" s="10">
        <v>42738</v>
      </c>
      <c r="C11">
        <v>20</v>
      </c>
      <c r="D11" s="8">
        <v>42738.833333333336</v>
      </c>
      <c r="E11" s="8">
        <v>42738.833333333336</v>
      </c>
      <c r="F11" s="8">
        <v>42739.327974537038</v>
      </c>
      <c r="G11" s="8">
        <v>42739.333333333336</v>
      </c>
    </row>
    <row r="12" spans="1:9">
      <c r="A12" t="s">
        <v>28</v>
      </c>
      <c r="B12" s="10">
        <v>42739</v>
      </c>
      <c r="C12">
        <v>8</v>
      </c>
      <c r="D12" s="8">
        <v>42739.333333333336</v>
      </c>
      <c r="E12" s="8">
        <v>42739.333344907405</v>
      </c>
      <c r="F12" s="8">
        <v>42739.577974537038</v>
      </c>
      <c r="G12" s="8">
        <v>42739.833333333336</v>
      </c>
    </row>
    <row r="13" spans="1:9">
      <c r="A13" t="s">
        <v>29</v>
      </c>
      <c r="B13" s="10">
        <v>42739</v>
      </c>
      <c r="C13">
        <v>20</v>
      </c>
      <c r="D13" s="8">
        <v>42739.833333333336</v>
      </c>
      <c r="E13" s="8">
        <v>42739.833344907405</v>
      </c>
      <c r="F13" s="8">
        <v>42739.577974537038</v>
      </c>
      <c r="G13" s="8">
        <v>42740.333333333336</v>
      </c>
    </row>
    <row r="14" spans="1:9">
      <c r="A14" t="s">
        <v>30</v>
      </c>
      <c r="B14" s="10">
        <v>42740</v>
      </c>
      <c r="C14">
        <v>8</v>
      </c>
      <c r="D14" s="8">
        <v>42740.333333333336</v>
      </c>
      <c r="E14" s="8">
        <v>42740.333344907405</v>
      </c>
      <c r="F14" s="8">
        <v>42739.577974537038</v>
      </c>
      <c r="G14" s="8">
        <v>42740.833333333336</v>
      </c>
    </row>
    <row r="15" spans="1:9">
      <c r="A15" t="s">
        <v>31</v>
      </c>
      <c r="B15" s="10">
        <v>42740</v>
      </c>
      <c r="C15">
        <v>20</v>
      </c>
      <c r="D15" s="8">
        <v>42740.833333333336</v>
      </c>
      <c r="E15" s="8">
        <v>42740.833344907405</v>
      </c>
      <c r="F15" s="8">
        <v>42739.577974537038</v>
      </c>
      <c r="G15" s="8">
        <v>42741.333333333336</v>
      </c>
    </row>
    <row r="16" spans="1:9">
      <c r="A16" t="s">
        <v>32</v>
      </c>
      <c r="B16" s="10">
        <v>42741</v>
      </c>
      <c r="C16">
        <v>8</v>
      </c>
      <c r="D16" s="8">
        <v>42741.333333333336</v>
      </c>
      <c r="E16" s="8">
        <v>42741.333333333336</v>
      </c>
      <c r="F16" s="8">
        <v>42739.577974537038</v>
      </c>
      <c r="G16" s="8">
        <v>42741.833333333336</v>
      </c>
    </row>
    <row r="17" spans="1:7">
      <c r="A17" t="s">
        <v>33</v>
      </c>
      <c r="B17" s="10">
        <v>42741</v>
      </c>
      <c r="C17">
        <v>20</v>
      </c>
      <c r="D17" s="8">
        <v>42741.833333333336</v>
      </c>
      <c r="E17" s="8">
        <v>42741.833333333336</v>
      </c>
      <c r="F17" s="8">
        <v>42739.577974537038</v>
      </c>
      <c r="G17" s="8">
        <v>42742.333333333336</v>
      </c>
    </row>
    <row r="18" spans="1:7">
      <c r="A18" t="s">
        <v>34</v>
      </c>
      <c r="B18" s="10">
        <v>42742</v>
      </c>
      <c r="C18">
        <v>8</v>
      </c>
      <c r="D18" s="8">
        <v>42742.333333333336</v>
      </c>
      <c r="E18" s="8">
        <v>42742.333333333336</v>
      </c>
      <c r="F18" s="8">
        <v>42739.577974537038</v>
      </c>
      <c r="G18" s="8">
        <v>42742.833333333336</v>
      </c>
    </row>
    <row r="19" spans="1:7">
      <c r="A19" t="s">
        <v>35</v>
      </c>
      <c r="B19" s="10">
        <v>42742</v>
      </c>
      <c r="C19">
        <v>20</v>
      </c>
      <c r="D19" s="8">
        <v>42742.833333333336</v>
      </c>
      <c r="E19" s="8">
        <v>42742.833344907405</v>
      </c>
      <c r="F19" s="8">
        <v>42739.577974537038</v>
      </c>
      <c r="G19" s="8">
        <v>42743.333333333336</v>
      </c>
    </row>
    <row r="20" spans="1:7">
      <c r="A20" t="s">
        <v>36</v>
      </c>
      <c r="B20" s="10">
        <v>42743</v>
      </c>
      <c r="C20">
        <v>8</v>
      </c>
      <c r="D20" s="8">
        <v>42743.333333333336</v>
      </c>
      <c r="E20" s="8">
        <v>42743.333344907405</v>
      </c>
      <c r="F20" s="8">
        <v>42739.577974537038</v>
      </c>
      <c r="G20" s="8">
        <v>42743.833333333336</v>
      </c>
    </row>
    <row r="21" spans="1:7">
      <c r="A21" t="s">
        <v>37</v>
      </c>
      <c r="B21" s="10">
        <v>42743</v>
      </c>
      <c r="C21">
        <v>20</v>
      </c>
      <c r="D21" s="8">
        <v>42743.833333333336</v>
      </c>
      <c r="E21" s="8">
        <v>42743.833333333336</v>
      </c>
      <c r="F21" s="8">
        <v>42739.577974537038</v>
      </c>
      <c r="G21" s="8">
        <v>42744.333333333336</v>
      </c>
    </row>
    <row r="22" spans="1:7">
      <c r="A22" t="s">
        <v>38</v>
      </c>
      <c r="B22" s="10">
        <v>42744</v>
      </c>
      <c r="C22">
        <v>8</v>
      </c>
      <c r="D22" s="8">
        <v>42744.333333333336</v>
      </c>
      <c r="E22" s="8">
        <v>42744.333344907405</v>
      </c>
      <c r="F22" s="8">
        <v>42739.577974537038</v>
      </c>
      <c r="G22" s="8">
        <v>42744.833333333336</v>
      </c>
    </row>
    <row r="23" spans="1:7">
      <c r="A23" t="s">
        <v>39</v>
      </c>
      <c r="B23" s="10">
        <v>42744</v>
      </c>
      <c r="C23">
        <v>20</v>
      </c>
      <c r="D23" s="8">
        <v>42744.833333333336</v>
      </c>
      <c r="E23" s="8">
        <v>42744.833344907405</v>
      </c>
      <c r="F23" s="8">
        <v>42739.577974537038</v>
      </c>
      <c r="G23" s="8">
        <v>42745.333333333336</v>
      </c>
    </row>
    <row r="24" spans="1:7">
      <c r="A24" t="s">
        <v>40</v>
      </c>
      <c r="B24" s="10">
        <v>42745</v>
      </c>
      <c r="C24">
        <v>8</v>
      </c>
      <c r="D24" s="8">
        <v>42745.333333333336</v>
      </c>
      <c r="E24" s="8">
        <v>42745.333333333336</v>
      </c>
      <c r="F24" s="8">
        <v>42739.577974537038</v>
      </c>
      <c r="G24" s="8">
        <v>42745.833333333336</v>
      </c>
    </row>
    <row r="25" spans="1:7">
      <c r="A25" t="s">
        <v>41</v>
      </c>
      <c r="B25" s="10">
        <v>42745</v>
      </c>
      <c r="C25">
        <v>20</v>
      </c>
      <c r="D25" s="8">
        <v>42745.833333333336</v>
      </c>
      <c r="E25" s="8">
        <v>42745.833333333336</v>
      </c>
      <c r="F25" s="8">
        <v>42739.577974537038</v>
      </c>
      <c r="G25" s="8">
        <v>42746.333333333336</v>
      </c>
    </row>
    <row r="26" spans="1:7">
      <c r="A26" s="9" t="s">
        <v>42</v>
      </c>
      <c r="B26" s="10">
        <v>42746</v>
      </c>
      <c r="C26">
        <v>8</v>
      </c>
      <c r="D26" s="8">
        <v>42746.333333333336</v>
      </c>
      <c r="E26" s="8">
        <v>42746.333344907405</v>
      </c>
      <c r="F26" s="8">
        <v>42746.704409722224</v>
      </c>
      <c r="G26" s="8">
        <v>42746.833333333336</v>
      </c>
    </row>
    <row r="27" spans="1:7">
      <c r="A27" t="s">
        <v>43</v>
      </c>
      <c r="B27" s="10">
        <v>42746</v>
      </c>
      <c r="C27">
        <v>20</v>
      </c>
      <c r="D27" s="8">
        <v>42746.833333333336</v>
      </c>
      <c r="E27" s="8">
        <v>42746.833344907405</v>
      </c>
      <c r="F27" s="8">
        <v>42747.052754629629</v>
      </c>
      <c r="G27" s="8">
        <v>42747.333333333336</v>
      </c>
    </row>
    <row r="28" spans="1:7">
      <c r="A28" t="s">
        <v>44</v>
      </c>
      <c r="B28" s="10">
        <v>42747</v>
      </c>
      <c r="C28">
        <v>8</v>
      </c>
      <c r="D28" s="8">
        <v>42747.333333333336</v>
      </c>
      <c r="E28" s="8">
        <v>42747.333344907405</v>
      </c>
      <c r="F28" s="8">
        <v>42747.47247685185</v>
      </c>
      <c r="G28" s="8">
        <v>42747.833333333336</v>
      </c>
    </row>
    <row r="29" spans="1:7">
      <c r="A29" t="s">
        <v>45</v>
      </c>
      <c r="B29" s="10">
        <v>42747</v>
      </c>
      <c r="C29">
        <v>20</v>
      </c>
      <c r="D29" s="8">
        <v>42747.833333333336</v>
      </c>
      <c r="E29" s="8">
        <v>42747.833344907405</v>
      </c>
      <c r="F29" s="8">
        <v>42747.47247685185</v>
      </c>
      <c r="G29" s="8">
        <v>42748.333333333336</v>
      </c>
    </row>
    <row r="30" spans="1:7">
      <c r="A30" t="s">
        <v>46</v>
      </c>
      <c r="B30" s="10">
        <v>42748</v>
      </c>
      <c r="C30">
        <v>8</v>
      </c>
      <c r="D30" s="8">
        <v>42748.333333333336</v>
      </c>
      <c r="E30" s="8">
        <v>42748.333333333336</v>
      </c>
      <c r="F30" s="8">
        <v>42748.832696759258</v>
      </c>
      <c r="G30" s="8">
        <v>42748.833333333336</v>
      </c>
    </row>
    <row r="31" spans="1:7">
      <c r="A31" t="s">
        <v>47</v>
      </c>
      <c r="B31" s="10">
        <v>42748</v>
      </c>
      <c r="C31">
        <v>20</v>
      </c>
      <c r="D31" s="8">
        <v>42748.833333333336</v>
      </c>
      <c r="E31" s="8">
        <v>42748.833333333336</v>
      </c>
      <c r="F31" s="8">
        <v>42749.332708333335</v>
      </c>
      <c r="G31" s="8">
        <v>42749.333333333336</v>
      </c>
    </row>
    <row r="32" spans="1:7">
      <c r="A32" t="s">
        <v>48</v>
      </c>
      <c r="B32" s="10">
        <v>42749</v>
      </c>
      <c r="C32">
        <v>8</v>
      </c>
      <c r="D32" s="8">
        <v>42749.333333333336</v>
      </c>
      <c r="E32" s="8">
        <v>42749.333344907405</v>
      </c>
      <c r="F32" s="8">
        <v>42749.831724537034</v>
      </c>
      <c r="G32" s="8">
        <v>42749.833333333336</v>
      </c>
    </row>
    <row r="33" spans="1:7">
      <c r="A33" t="s">
        <v>49</v>
      </c>
      <c r="B33" s="10">
        <v>42749</v>
      </c>
      <c r="C33">
        <v>20</v>
      </c>
      <c r="D33" s="8">
        <v>42749.833333333336</v>
      </c>
      <c r="E33" s="8">
        <v>42749.833333333336</v>
      </c>
      <c r="F33" s="8">
        <v>42750.331689814811</v>
      </c>
      <c r="G33" s="8">
        <v>42750.333333333336</v>
      </c>
    </row>
    <row r="34" spans="1:7">
      <c r="A34" t="s">
        <v>50</v>
      </c>
      <c r="B34" s="10">
        <v>42750</v>
      </c>
      <c r="C34">
        <v>8</v>
      </c>
      <c r="D34" s="8">
        <v>42750.333333333336</v>
      </c>
      <c r="E34" s="8">
        <v>42750.333333333336</v>
      </c>
      <c r="F34" s="8">
        <v>42750.831689814811</v>
      </c>
      <c r="G34" s="8">
        <v>42750.833333333336</v>
      </c>
    </row>
    <row r="35" spans="1:7">
      <c r="A35" t="s">
        <v>51</v>
      </c>
      <c r="B35" s="10">
        <v>42750</v>
      </c>
      <c r="C35">
        <v>20</v>
      </c>
      <c r="D35" s="8">
        <v>42750.833333333336</v>
      </c>
      <c r="E35" s="8">
        <v>42750.833344907405</v>
      </c>
      <c r="F35" s="8">
        <v>42751.331724537034</v>
      </c>
      <c r="G35" s="8">
        <v>42751.333333333336</v>
      </c>
    </row>
    <row r="36" spans="1:7">
      <c r="A36" t="s">
        <v>52</v>
      </c>
      <c r="B36" s="10">
        <v>42751</v>
      </c>
      <c r="C36">
        <v>8</v>
      </c>
      <c r="D36" s="8">
        <v>42751.333333333336</v>
      </c>
      <c r="E36" s="8">
        <v>42751.333344907405</v>
      </c>
      <c r="F36" s="8">
        <v>42751.831666666665</v>
      </c>
      <c r="G36" s="8">
        <v>42751.833333333336</v>
      </c>
    </row>
    <row r="37" spans="1:7">
      <c r="A37" t="s">
        <v>53</v>
      </c>
      <c r="B37" s="10">
        <v>42751</v>
      </c>
      <c r="C37">
        <v>20</v>
      </c>
      <c r="D37" s="8">
        <v>42751.833333333336</v>
      </c>
      <c r="E37" s="8">
        <v>42751.833333333336</v>
      </c>
      <c r="F37" s="8">
        <v>42752.331712962965</v>
      </c>
      <c r="G37" s="8">
        <v>42752.333333333336</v>
      </c>
    </row>
    <row r="38" spans="1:7">
      <c r="A38" t="s">
        <v>54</v>
      </c>
      <c r="B38" s="10">
        <v>42752</v>
      </c>
      <c r="C38">
        <v>8</v>
      </c>
      <c r="D38" s="8">
        <v>42752.333333333336</v>
      </c>
      <c r="E38" s="8">
        <v>42752.333344907405</v>
      </c>
      <c r="F38" s="8">
        <v>42752.831678240742</v>
      </c>
      <c r="G38" s="8">
        <v>42752.833333333336</v>
      </c>
    </row>
    <row r="39" spans="1:7">
      <c r="A39" t="s">
        <v>55</v>
      </c>
      <c r="B39" s="10">
        <v>42752</v>
      </c>
      <c r="C39">
        <v>20</v>
      </c>
      <c r="D39" s="8">
        <v>42752.833333333336</v>
      </c>
      <c r="E39" s="8">
        <v>42752.833333333336</v>
      </c>
      <c r="F39" s="8">
        <v>42753.331678240742</v>
      </c>
      <c r="G39" s="8">
        <v>42753.333333333336</v>
      </c>
    </row>
    <row r="40" spans="1:7">
      <c r="A40" t="s">
        <v>56</v>
      </c>
      <c r="B40" s="10">
        <v>42753</v>
      </c>
      <c r="C40">
        <v>8</v>
      </c>
      <c r="D40" s="8">
        <v>42753.333333333336</v>
      </c>
      <c r="E40" s="8">
        <v>42753.333344907405</v>
      </c>
      <c r="F40" s="8">
        <v>42753.831678240742</v>
      </c>
      <c r="G40" s="8">
        <v>42753.833333333336</v>
      </c>
    </row>
    <row r="41" spans="1:7">
      <c r="A41" t="s">
        <v>57</v>
      </c>
      <c r="B41" s="10">
        <v>42753</v>
      </c>
      <c r="C41">
        <v>20</v>
      </c>
      <c r="D41" s="8">
        <v>42753.833333333336</v>
      </c>
      <c r="E41" s="8">
        <v>42753.833344907405</v>
      </c>
      <c r="F41" s="8">
        <v>42754.331689814811</v>
      </c>
      <c r="G41" s="8">
        <v>42754.333333333336</v>
      </c>
    </row>
    <row r="42" spans="1:7">
      <c r="A42" t="s">
        <v>58</v>
      </c>
      <c r="B42" s="10">
        <v>42754</v>
      </c>
      <c r="C42">
        <v>8</v>
      </c>
      <c r="D42" s="8">
        <v>42754.333333333336</v>
      </c>
      <c r="E42" s="8">
        <v>42754.333333333336</v>
      </c>
      <c r="F42" s="8">
        <v>42754.831689814811</v>
      </c>
      <c r="G42" s="8">
        <v>42754.833333333336</v>
      </c>
    </row>
    <row r="43" spans="1:7">
      <c r="A43" t="s">
        <v>59</v>
      </c>
      <c r="B43" s="10">
        <v>42754</v>
      </c>
      <c r="C43">
        <v>20</v>
      </c>
      <c r="D43" s="8">
        <v>42754.833333333336</v>
      </c>
      <c r="E43" s="8">
        <v>42754.833333333336</v>
      </c>
      <c r="F43" s="8">
        <v>42755.331689814811</v>
      </c>
      <c r="G43" s="8">
        <v>42755.333333333336</v>
      </c>
    </row>
    <row r="44" spans="1:7">
      <c r="A44" t="s">
        <v>60</v>
      </c>
      <c r="B44" s="10">
        <v>42755</v>
      </c>
      <c r="C44">
        <v>8</v>
      </c>
      <c r="D44" s="8">
        <v>42755.333333333336</v>
      </c>
      <c r="E44" s="8">
        <v>42755.333333333336</v>
      </c>
      <c r="F44" s="8">
        <v>42755.831689814811</v>
      </c>
      <c r="G44" s="8">
        <v>42755.833333333336</v>
      </c>
    </row>
    <row r="45" spans="1:7">
      <c r="A45" t="s">
        <v>61</v>
      </c>
      <c r="B45" s="10">
        <v>42755</v>
      </c>
      <c r="C45">
        <v>20</v>
      </c>
      <c r="D45" s="8">
        <v>42755.833333333336</v>
      </c>
      <c r="E45" s="8">
        <v>42755.833333333336</v>
      </c>
      <c r="F45" s="8">
        <v>42756.331724537034</v>
      </c>
      <c r="G45" s="8">
        <v>42756.333333333336</v>
      </c>
    </row>
    <row r="46" spans="1:7">
      <c r="A46" t="s">
        <v>62</v>
      </c>
      <c r="B46" s="10">
        <v>42756</v>
      </c>
      <c r="C46">
        <v>8</v>
      </c>
      <c r="D46" s="8">
        <v>42756.333333333336</v>
      </c>
      <c r="E46" s="8">
        <v>42756.333333333336</v>
      </c>
      <c r="F46" s="8">
        <v>42756.831701388888</v>
      </c>
      <c r="G46" s="8">
        <v>42756.833333333336</v>
      </c>
    </row>
    <row r="47" spans="1:7">
      <c r="A47" t="s">
        <v>63</v>
      </c>
      <c r="B47" s="10">
        <v>42756</v>
      </c>
      <c r="C47">
        <v>20</v>
      </c>
      <c r="D47" s="8">
        <v>42756.833333333336</v>
      </c>
      <c r="E47" s="8">
        <v>42756.833344907405</v>
      </c>
      <c r="F47" s="8">
        <v>42757.331701388888</v>
      </c>
      <c r="G47" s="8">
        <v>42757.333333333336</v>
      </c>
    </row>
    <row r="48" spans="1:7">
      <c r="A48" t="s">
        <v>64</v>
      </c>
      <c r="B48" s="10">
        <v>42757</v>
      </c>
      <c r="C48">
        <v>8</v>
      </c>
      <c r="D48" s="8">
        <v>42757.333333333336</v>
      </c>
      <c r="E48" s="8">
        <v>42757.333344907405</v>
      </c>
      <c r="F48" s="8">
        <v>42757.831736111111</v>
      </c>
      <c r="G48" s="8">
        <v>42757.833333333336</v>
      </c>
    </row>
    <row r="49" spans="1:7">
      <c r="A49" t="s">
        <v>65</v>
      </c>
      <c r="B49" s="10">
        <v>42757</v>
      </c>
      <c r="C49">
        <v>20</v>
      </c>
      <c r="D49" s="8">
        <v>42757.833333333336</v>
      </c>
      <c r="E49" s="8">
        <v>42757.833344907405</v>
      </c>
      <c r="F49" s="8">
        <v>42758.331736111111</v>
      </c>
      <c r="G49" s="8">
        <v>42758.333333333336</v>
      </c>
    </row>
    <row r="50" spans="1:7">
      <c r="A50" t="s">
        <v>66</v>
      </c>
      <c r="B50" s="10">
        <v>42758</v>
      </c>
      <c r="C50">
        <v>8</v>
      </c>
      <c r="D50" s="8">
        <v>42758.333333333336</v>
      </c>
      <c r="E50" s="8">
        <v>42758.333333333336</v>
      </c>
      <c r="F50" s="8">
        <v>42758.831724537034</v>
      </c>
      <c r="G50" s="8">
        <v>42758.833333333336</v>
      </c>
    </row>
    <row r="51" spans="1:7">
      <c r="A51" t="s">
        <v>67</v>
      </c>
      <c r="B51" s="10">
        <v>42758</v>
      </c>
      <c r="C51">
        <v>20</v>
      </c>
      <c r="D51" s="8">
        <v>42758.833333333336</v>
      </c>
      <c r="E51" s="8">
        <v>42758.833344907405</v>
      </c>
      <c r="F51" s="8">
        <v>42759.331724537034</v>
      </c>
      <c r="G51" s="8">
        <v>42759.333333333336</v>
      </c>
    </row>
    <row r="52" spans="1:7">
      <c r="A52" t="s">
        <v>68</v>
      </c>
      <c r="B52" s="10">
        <v>42759</v>
      </c>
      <c r="C52">
        <v>8</v>
      </c>
      <c r="D52" s="8">
        <v>42759.333333333336</v>
      </c>
      <c r="E52" s="8">
        <v>42759.333344907405</v>
      </c>
      <c r="F52" s="8">
        <v>42759.831747685188</v>
      </c>
      <c r="G52" s="8">
        <v>42759.833333333336</v>
      </c>
    </row>
    <row r="53" spans="1:7">
      <c r="A53" t="s">
        <v>69</v>
      </c>
      <c r="B53" s="10">
        <v>42759</v>
      </c>
      <c r="C53">
        <v>20</v>
      </c>
      <c r="D53" s="8">
        <v>42759.833333333336</v>
      </c>
      <c r="E53" s="8">
        <v>42759.833333333336</v>
      </c>
      <c r="F53" s="8">
        <v>42760.331712962965</v>
      </c>
      <c r="G53" s="8">
        <v>42760.333333333336</v>
      </c>
    </row>
    <row r="54" spans="1:7">
      <c r="A54" t="s">
        <v>70</v>
      </c>
      <c r="B54" s="10">
        <v>42760</v>
      </c>
      <c r="C54">
        <v>8</v>
      </c>
      <c r="D54" s="8">
        <v>42760.333333333336</v>
      </c>
      <c r="E54" s="8">
        <v>42760.333333333336</v>
      </c>
      <c r="F54" s="8">
        <v>42760.831770833334</v>
      </c>
      <c r="G54" s="8">
        <v>42760.833333333336</v>
      </c>
    </row>
    <row r="55" spans="1:7">
      <c r="A55" t="s">
        <v>71</v>
      </c>
      <c r="B55" s="10">
        <v>42760</v>
      </c>
      <c r="C55">
        <v>20</v>
      </c>
      <c r="D55" s="8">
        <v>42760.833333333336</v>
      </c>
      <c r="E55" s="8">
        <v>42760.833333333336</v>
      </c>
      <c r="F55" s="8">
        <v>42761.331747685188</v>
      </c>
      <c r="G55" s="8">
        <v>42761.333333333336</v>
      </c>
    </row>
    <row r="56" spans="1:7">
      <c r="A56" t="s">
        <v>72</v>
      </c>
      <c r="B56" s="10">
        <v>42761</v>
      </c>
      <c r="C56">
        <v>8</v>
      </c>
      <c r="D56" s="8">
        <v>42761.333333333336</v>
      </c>
      <c r="E56" s="8">
        <v>42761.333344907405</v>
      </c>
      <c r="F56" s="8">
        <v>42761.831736111111</v>
      </c>
      <c r="G56" s="8">
        <v>42761.833333333336</v>
      </c>
    </row>
    <row r="57" spans="1:7">
      <c r="A57" t="s">
        <v>73</v>
      </c>
      <c r="B57" s="10">
        <v>42761</v>
      </c>
      <c r="C57">
        <v>20</v>
      </c>
      <c r="D57" s="8">
        <v>42761.833333333336</v>
      </c>
      <c r="E57" s="8">
        <v>42761.833333333336</v>
      </c>
      <c r="F57" s="8">
        <v>42762.331747685188</v>
      </c>
      <c r="G57" s="8">
        <v>42762.333333333336</v>
      </c>
    </row>
    <row r="58" spans="1:7">
      <c r="A58" t="s">
        <v>74</v>
      </c>
      <c r="B58" s="10">
        <v>42762</v>
      </c>
      <c r="C58">
        <v>8</v>
      </c>
      <c r="D58" s="8">
        <v>42762.333333333336</v>
      </c>
      <c r="E58" s="8">
        <v>42762.333344907405</v>
      </c>
      <c r="F58" s="8">
        <v>42762.831770833334</v>
      </c>
      <c r="G58" s="8">
        <v>42762.833333333336</v>
      </c>
    </row>
    <row r="59" spans="1:7">
      <c r="A59" t="s">
        <v>75</v>
      </c>
      <c r="B59" s="10">
        <v>42762</v>
      </c>
      <c r="C59">
        <v>20</v>
      </c>
      <c r="D59" s="8">
        <v>42762.833333333336</v>
      </c>
      <c r="E59" s="8">
        <v>42762.833344907405</v>
      </c>
      <c r="F59" s="8">
        <v>42763.331724537034</v>
      </c>
      <c r="G59" s="8">
        <v>42763.333333333336</v>
      </c>
    </row>
    <row r="60" spans="1:7">
      <c r="A60" t="s">
        <v>76</v>
      </c>
      <c r="B60" s="10">
        <v>42763</v>
      </c>
      <c r="C60">
        <v>8</v>
      </c>
      <c r="D60" s="8">
        <v>42763.333333333336</v>
      </c>
      <c r="E60" s="8">
        <v>42763.333333333336</v>
      </c>
      <c r="F60" s="8">
        <v>42763.831793981481</v>
      </c>
      <c r="G60" s="8">
        <v>42763.833333333336</v>
      </c>
    </row>
    <row r="61" spans="1:7">
      <c r="A61" t="s">
        <v>77</v>
      </c>
      <c r="B61" s="10">
        <v>42763</v>
      </c>
      <c r="C61">
        <v>20</v>
      </c>
      <c r="D61" s="8">
        <v>42763.833333333336</v>
      </c>
      <c r="E61" s="8">
        <v>42763.833333333336</v>
      </c>
      <c r="F61" s="8">
        <v>42764.331736111111</v>
      </c>
      <c r="G61" s="8">
        <v>42764.333333333336</v>
      </c>
    </row>
    <row r="62" spans="1:7">
      <c r="A62" t="s">
        <v>78</v>
      </c>
      <c r="B62" s="10">
        <v>42764</v>
      </c>
      <c r="C62">
        <v>8</v>
      </c>
      <c r="D62" s="8">
        <v>42764.333333333336</v>
      </c>
      <c r="E62" s="8">
        <v>42764.333344907405</v>
      </c>
      <c r="F62" s="8">
        <v>42764.831782407404</v>
      </c>
      <c r="G62" s="8">
        <v>42764.833333333336</v>
      </c>
    </row>
    <row r="63" spans="1:7">
      <c r="A63" t="s">
        <v>79</v>
      </c>
      <c r="B63" s="10">
        <v>42764</v>
      </c>
      <c r="C63">
        <v>20</v>
      </c>
      <c r="D63" s="8">
        <v>42764.833333333336</v>
      </c>
      <c r="E63" s="8">
        <v>42764.833344907405</v>
      </c>
      <c r="F63" s="8">
        <v>42765.331736111111</v>
      </c>
      <c r="G63" s="8">
        <v>42765.333333333336</v>
      </c>
    </row>
    <row r="64" spans="1:7">
      <c r="A64" t="s">
        <v>80</v>
      </c>
      <c r="B64" s="10">
        <v>42765</v>
      </c>
      <c r="C64">
        <v>8</v>
      </c>
      <c r="D64" s="8">
        <v>42765.333333333336</v>
      </c>
      <c r="E64" s="8">
        <v>42765.333333333336</v>
      </c>
      <c r="F64" s="8">
        <v>42765.831759259258</v>
      </c>
      <c r="G64" s="8">
        <v>42765.833333333336</v>
      </c>
    </row>
    <row r="65" spans="1:7">
      <c r="A65" t="s">
        <v>81</v>
      </c>
      <c r="B65" s="10">
        <v>42765</v>
      </c>
      <c r="C65">
        <v>20</v>
      </c>
      <c r="D65" s="8">
        <v>42765.833333333336</v>
      </c>
      <c r="E65" s="8">
        <v>42765.833333333336</v>
      </c>
      <c r="F65" s="8">
        <v>42766.331759259258</v>
      </c>
      <c r="G65" s="8">
        <v>42766.333333333336</v>
      </c>
    </row>
    <row r="66" spans="1:7">
      <c r="A66" t="s">
        <v>82</v>
      </c>
      <c r="B66" s="10">
        <v>42766</v>
      </c>
      <c r="C66">
        <v>8</v>
      </c>
      <c r="D66" s="8">
        <v>42766.333333333336</v>
      </c>
      <c r="E66" s="8">
        <v>42766.333333333336</v>
      </c>
      <c r="F66" s="8">
        <v>42766.832037037035</v>
      </c>
      <c r="G66" s="8">
        <v>42766.833333333336</v>
      </c>
    </row>
    <row r="68" spans="1:7">
      <c r="A68" t="s">
        <v>21</v>
      </c>
      <c r="B68" t="s">
        <v>87</v>
      </c>
      <c r="C68" t="s">
        <v>88</v>
      </c>
    </row>
    <row r="69" spans="1:7">
      <c r="A69" t="s">
        <v>22</v>
      </c>
      <c r="B69">
        <v>121</v>
      </c>
      <c r="C69" t="s">
        <v>89</v>
      </c>
    </row>
    <row r="70" spans="1:7">
      <c r="A70" t="s">
        <v>22</v>
      </c>
      <c r="B70">
        <v>125</v>
      </c>
      <c r="C70" t="s">
        <v>90</v>
      </c>
    </row>
    <row r="71" spans="1:7">
      <c r="A71" t="s">
        <v>23</v>
      </c>
      <c r="B71">
        <v>123</v>
      </c>
      <c r="C71" t="s">
        <v>91</v>
      </c>
    </row>
    <row r="72" spans="1:7">
      <c r="A72" t="s">
        <v>23</v>
      </c>
      <c r="B72">
        <v>130</v>
      </c>
      <c r="C72" t="s">
        <v>92</v>
      </c>
    </row>
    <row r="73" spans="1:7">
      <c r="A73" t="s">
        <v>24</v>
      </c>
      <c r="B73">
        <v>125</v>
      </c>
      <c r="C73" t="s">
        <v>90</v>
      </c>
    </row>
    <row r="74" spans="1:7">
      <c r="A74" t="s">
        <v>24</v>
      </c>
      <c r="B74">
        <v>128</v>
      </c>
      <c r="C74" t="s">
        <v>93</v>
      </c>
    </row>
    <row r="75" spans="1:7">
      <c r="A75" t="s">
        <v>25</v>
      </c>
      <c r="B75">
        <v>121</v>
      </c>
      <c r="C75" t="s">
        <v>89</v>
      </c>
    </row>
    <row r="76" spans="1:7">
      <c r="A76" t="s">
        <v>25</v>
      </c>
      <c r="B76">
        <v>132</v>
      </c>
      <c r="C76" t="s">
        <v>94</v>
      </c>
    </row>
    <row r="77" spans="1:7">
      <c r="A77" t="s">
        <v>26</v>
      </c>
      <c r="B77">
        <v>131</v>
      </c>
      <c r="C77" t="s">
        <v>95</v>
      </c>
    </row>
    <row r="78" spans="1:7">
      <c r="A78" t="s">
        <v>26</v>
      </c>
      <c r="B78">
        <v>133</v>
      </c>
      <c r="C78" t="s">
        <v>96</v>
      </c>
    </row>
    <row r="79" spans="1:7">
      <c r="A79" t="s">
        <v>27</v>
      </c>
      <c r="B79">
        <v>125</v>
      </c>
      <c r="C79" t="s">
        <v>90</v>
      </c>
    </row>
    <row r="80" spans="1:7">
      <c r="A80" t="s">
        <v>27</v>
      </c>
      <c r="B80">
        <v>128</v>
      </c>
      <c r="C80" t="s">
        <v>93</v>
      </c>
    </row>
    <row r="81" spans="1:3">
      <c r="A81" t="s">
        <v>28</v>
      </c>
      <c r="B81">
        <v>123</v>
      </c>
      <c r="C81" t="s">
        <v>91</v>
      </c>
    </row>
    <row r="82" spans="1:3">
      <c r="A82" t="s">
        <v>28</v>
      </c>
      <c r="B82">
        <v>130</v>
      </c>
      <c r="C82" t="s">
        <v>92</v>
      </c>
    </row>
    <row r="83" spans="1:3">
      <c r="A83" t="s">
        <v>29</v>
      </c>
      <c r="B83">
        <v>131</v>
      </c>
      <c r="C83" t="s">
        <v>95</v>
      </c>
    </row>
    <row r="84" spans="1:3">
      <c r="A84" t="s">
        <v>29</v>
      </c>
      <c r="B84">
        <v>133</v>
      </c>
      <c r="C84" t="s">
        <v>96</v>
      </c>
    </row>
    <row r="85" spans="1:3">
      <c r="A85" t="s">
        <v>30</v>
      </c>
      <c r="B85">
        <v>121</v>
      </c>
      <c r="C85" t="s">
        <v>89</v>
      </c>
    </row>
    <row r="86" spans="1:3">
      <c r="A86" t="s">
        <v>30</v>
      </c>
      <c r="B86">
        <v>130</v>
      </c>
      <c r="C86" t="s">
        <v>92</v>
      </c>
    </row>
    <row r="87" spans="1:3">
      <c r="A87" t="s">
        <v>31</v>
      </c>
      <c r="B87">
        <v>123</v>
      </c>
      <c r="C87" t="s">
        <v>91</v>
      </c>
    </row>
    <row r="88" spans="1:3">
      <c r="A88" t="s">
        <v>31</v>
      </c>
      <c r="B88">
        <v>130</v>
      </c>
      <c r="C88" t="s">
        <v>92</v>
      </c>
    </row>
    <row r="89" spans="1:3">
      <c r="A89" t="s">
        <v>32</v>
      </c>
      <c r="B89">
        <v>125</v>
      </c>
      <c r="C89" t="s">
        <v>90</v>
      </c>
    </row>
    <row r="90" spans="1:3">
      <c r="A90" t="s">
        <v>32</v>
      </c>
      <c r="B90">
        <v>128</v>
      </c>
      <c r="C90" t="s">
        <v>93</v>
      </c>
    </row>
    <row r="91" spans="1:3">
      <c r="A91" t="s">
        <v>33</v>
      </c>
      <c r="B91">
        <v>118</v>
      </c>
      <c r="C91" t="s">
        <v>97</v>
      </c>
    </row>
    <row r="92" spans="1:3">
      <c r="A92" t="s">
        <v>33</v>
      </c>
      <c r="B92">
        <v>121</v>
      </c>
      <c r="C92" t="s">
        <v>89</v>
      </c>
    </row>
    <row r="93" spans="1:3">
      <c r="A93" t="s">
        <v>34</v>
      </c>
      <c r="B93">
        <v>123</v>
      </c>
      <c r="C93" t="s">
        <v>91</v>
      </c>
    </row>
    <row r="94" spans="1:3">
      <c r="A94" t="s">
        <v>34</v>
      </c>
      <c r="B94">
        <v>133</v>
      </c>
      <c r="C94" t="s">
        <v>96</v>
      </c>
    </row>
    <row r="95" spans="1:3">
      <c r="A95" t="s">
        <v>35</v>
      </c>
      <c r="B95">
        <v>125</v>
      </c>
      <c r="C95" t="s">
        <v>90</v>
      </c>
    </row>
    <row r="96" spans="1:3">
      <c r="A96" t="s">
        <v>35</v>
      </c>
      <c r="B96">
        <v>128</v>
      </c>
      <c r="C96" t="s">
        <v>93</v>
      </c>
    </row>
    <row r="97" spans="1:3">
      <c r="A97" t="s">
        <v>36</v>
      </c>
      <c r="B97">
        <v>123</v>
      </c>
      <c r="C97" t="s">
        <v>91</v>
      </c>
    </row>
    <row r="98" spans="1:3">
      <c r="A98" t="s">
        <v>36</v>
      </c>
      <c r="B98">
        <v>130</v>
      </c>
      <c r="C98" t="s">
        <v>92</v>
      </c>
    </row>
    <row r="99" spans="1:3">
      <c r="A99" t="s">
        <v>37</v>
      </c>
      <c r="B99">
        <v>131</v>
      </c>
      <c r="C99" t="s">
        <v>95</v>
      </c>
    </row>
    <row r="100" spans="1:3">
      <c r="A100" t="s">
        <v>37</v>
      </c>
      <c r="B100">
        <v>133</v>
      </c>
      <c r="C100" t="s">
        <v>96</v>
      </c>
    </row>
    <row r="101" spans="1:3">
      <c r="A101" t="s">
        <v>38</v>
      </c>
      <c r="B101">
        <v>118</v>
      </c>
      <c r="C101" t="s">
        <v>97</v>
      </c>
    </row>
    <row r="102" spans="1:3">
      <c r="A102" t="s">
        <v>38</v>
      </c>
      <c r="B102">
        <v>121</v>
      </c>
      <c r="C102" t="s">
        <v>89</v>
      </c>
    </row>
    <row r="103" spans="1:3">
      <c r="A103" t="s">
        <v>39</v>
      </c>
      <c r="B103">
        <v>123</v>
      </c>
      <c r="C103" t="s">
        <v>91</v>
      </c>
    </row>
    <row r="104" spans="1:3">
      <c r="A104" t="s">
        <v>39</v>
      </c>
      <c r="B104">
        <v>130</v>
      </c>
      <c r="C104" t="s">
        <v>92</v>
      </c>
    </row>
    <row r="105" spans="1:3">
      <c r="A105" t="s">
        <v>40</v>
      </c>
      <c r="B105">
        <v>125</v>
      </c>
      <c r="C105" t="s">
        <v>90</v>
      </c>
    </row>
    <row r="106" spans="1:3">
      <c r="A106" t="s">
        <v>40</v>
      </c>
      <c r="B106">
        <v>128</v>
      </c>
      <c r="C106" t="s">
        <v>93</v>
      </c>
    </row>
    <row r="107" spans="1:3">
      <c r="A107" t="s">
        <v>41</v>
      </c>
      <c r="B107">
        <v>118</v>
      </c>
      <c r="C107" t="s">
        <v>97</v>
      </c>
    </row>
    <row r="108" spans="1:3">
      <c r="A108" t="s">
        <v>41</v>
      </c>
      <c r="B108">
        <v>121</v>
      </c>
      <c r="C108" t="s">
        <v>89</v>
      </c>
    </row>
    <row r="109" spans="1:3">
      <c r="A109" s="9" t="s">
        <v>42</v>
      </c>
      <c r="B109">
        <v>131</v>
      </c>
      <c r="C109" t="s">
        <v>95</v>
      </c>
    </row>
    <row r="110" spans="1:3">
      <c r="A110" s="9" t="s">
        <v>42</v>
      </c>
      <c r="B110">
        <v>133</v>
      </c>
      <c r="C110" t="s">
        <v>96</v>
      </c>
    </row>
    <row r="111" spans="1:3">
      <c r="A111" t="s">
        <v>43</v>
      </c>
      <c r="B111">
        <v>125</v>
      </c>
      <c r="C111" t="s">
        <v>90</v>
      </c>
    </row>
    <row r="112" spans="1:3">
      <c r="A112" t="s">
        <v>43</v>
      </c>
      <c r="B112">
        <v>128</v>
      </c>
      <c r="C112" t="s">
        <v>93</v>
      </c>
    </row>
    <row r="113" spans="1:3">
      <c r="A113" t="s">
        <v>44</v>
      </c>
      <c r="B113">
        <v>123</v>
      </c>
      <c r="C113" t="s">
        <v>91</v>
      </c>
    </row>
    <row r="114" spans="1:3">
      <c r="A114" t="s">
        <v>44</v>
      </c>
      <c r="B114">
        <v>130</v>
      </c>
      <c r="C114" t="s">
        <v>92</v>
      </c>
    </row>
    <row r="115" spans="1:3">
      <c r="A115" t="s">
        <v>45</v>
      </c>
      <c r="B115">
        <v>131</v>
      </c>
      <c r="C115" t="s">
        <v>95</v>
      </c>
    </row>
    <row r="116" spans="1:3">
      <c r="A116" t="s">
        <v>45</v>
      </c>
      <c r="B116">
        <v>133</v>
      </c>
      <c r="C116" t="s">
        <v>96</v>
      </c>
    </row>
    <row r="117" spans="1:3">
      <c r="A117" t="s">
        <v>46</v>
      </c>
      <c r="B117">
        <v>118</v>
      </c>
      <c r="C117" t="s">
        <v>97</v>
      </c>
    </row>
    <row r="118" spans="1:3">
      <c r="A118" t="s">
        <v>46</v>
      </c>
      <c r="B118">
        <v>121</v>
      </c>
      <c r="C118" t="s">
        <v>89</v>
      </c>
    </row>
    <row r="119" spans="1:3">
      <c r="A119" t="s">
        <v>47</v>
      </c>
      <c r="B119">
        <v>123</v>
      </c>
      <c r="C119" t="s">
        <v>91</v>
      </c>
    </row>
    <row r="120" spans="1:3">
      <c r="A120" t="s">
        <v>47</v>
      </c>
      <c r="B120">
        <v>130</v>
      </c>
      <c r="C120" t="s">
        <v>92</v>
      </c>
    </row>
    <row r="121" spans="1:3">
      <c r="A121" t="s">
        <v>48</v>
      </c>
      <c r="B121">
        <v>125</v>
      </c>
      <c r="C121" t="s">
        <v>90</v>
      </c>
    </row>
    <row r="122" spans="1:3">
      <c r="A122" t="s">
        <v>48</v>
      </c>
      <c r="B122">
        <v>128</v>
      </c>
      <c r="C122" t="s">
        <v>93</v>
      </c>
    </row>
    <row r="123" spans="1:3">
      <c r="A123" t="s">
        <v>49</v>
      </c>
      <c r="B123">
        <v>118</v>
      </c>
      <c r="C123" t="s">
        <v>97</v>
      </c>
    </row>
    <row r="124" spans="1:3">
      <c r="A124" t="s">
        <v>49</v>
      </c>
      <c r="B124">
        <v>121</v>
      </c>
      <c r="C124" t="s">
        <v>89</v>
      </c>
    </row>
    <row r="125" spans="1:3">
      <c r="A125" t="s">
        <v>50</v>
      </c>
      <c r="B125">
        <v>131</v>
      </c>
      <c r="C125" t="s">
        <v>95</v>
      </c>
    </row>
    <row r="126" spans="1:3">
      <c r="A126" t="s">
        <v>50</v>
      </c>
      <c r="B126">
        <v>133</v>
      </c>
      <c r="C126" t="s">
        <v>96</v>
      </c>
    </row>
    <row r="127" spans="1:3">
      <c r="A127" t="s">
        <v>51</v>
      </c>
      <c r="B127">
        <v>125</v>
      </c>
      <c r="C127" t="s">
        <v>90</v>
      </c>
    </row>
    <row r="128" spans="1:3">
      <c r="A128" t="s">
        <v>51</v>
      </c>
      <c r="B128">
        <v>128</v>
      </c>
      <c r="C128" t="s">
        <v>93</v>
      </c>
    </row>
    <row r="129" spans="1:3">
      <c r="A129" t="s">
        <v>52</v>
      </c>
      <c r="B129">
        <v>123</v>
      </c>
      <c r="C129" t="s">
        <v>91</v>
      </c>
    </row>
    <row r="130" spans="1:3">
      <c r="A130" t="s">
        <v>52</v>
      </c>
      <c r="B130">
        <v>130</v>
      </c>
      <c r="C130" t="s">
        <v>92</v>
      </c>
    </row>
    <row r="131" spans="1:3">
      <c r="A131" t="s">
        <v>53</v>
      </c>
      <c r="B131">
        <v>131</v>
      </c>
      <c r="C131" t="s">
        <v>95</v>
      </c>
    </row>
    <row r="132" spans="1:3">
      <c r="A132" t="s">
        <v>53</v>
      </c>
      <c r="B132">
        <v>133</v>
      </c>
      <c r="C132" t="s">
        <v>96</v>
      </c>
    </row>
    <row r="133" spans="1:3">
      <c r="A133" t="s">
        <v>54</v>
      </c>
      <c r="B133">
        <v>121</v>
      </c>
      <c r="C133" t="s">
        <v>89</v>
      </c>
    </row>
    <row r="134" spans="1:3">
      <c r="A134" t="s">
        <v>54</v>
      </c>
      <c r="B134">
        <v>125</v>
      </c>
      <c r="C134" t="s">
        <v>90</v>
      </c>
    </row>
    <row r="135" spans="1:3">
      <c r="A135" t="s">
        <v>55</v>
      </c>
      <c r="B135">
        <v>130</v>
      </c>
      <c r="C135" t="s">
        <v>92</v>
      </c>
    </row>
    <row r="136" spans="1:3">
      <c r="A136" t="s">
        <v>55</v>
      </c>
      <c r="B136">
        <v>131</v>
      </c>
      <c r="C136" t="s">
        <v>95</v>
      </c>
    </row>
    <row r="137" spans="1:3">
      <c r="A137" t="s">
        <v>56</v>
      </c>
      <c r="B137">
        <v>125</v>
      </c>
      <c r="C137" t="s">
        <v>90</v>
      </c>
    </row>
    <row r="138" spans="1:3">
      <c r="A138" t="s">
        <v>56</v>
      </c>
      <c r="B138">
        <v>128</v>
      </c>
      <c r="C138" t="s">
        <v>93</v>
      </c>
    </row>
    <row r="139" spans="1:3">
      <c r="A139" t="s">
        <v>57</v>
      </c>
      <c r="B139">
        <v>118</v>
      </c>
      <c r="C139" t="s">
        <v>97</v>
      </c>
    </row>
    <row r="140" spans="1:3">
      <c r="A140" t="s">
        <v>57</v>
      </c>
      <c r="B140">
        <v>121</v>
      </c>
      <c r="C140" t="s">
        <v>89</v>
      </c>
    </row>
    <row r="141" spans="1:3">
      <c r="A141" t="s">
        <v>58</v>
      </c>
      <c r="B141">
        <v>131</v>
      </c>
      <c r="C141" t="s">
        <v>95</v>
      </c>
    </row>
    <row r="142" spans="1:3">
      <c r="A142" t="s">
        <v>58</v>
      </c>
      <c r="B142">
        <v>133</v>
      </c>
      <c r="C142" t="s">
        <v>96</v>
      </c>
    </row>
    <row r="143" spans="1:3">
      <c r="A143" t="s">
        <v>59</v>
      </c>
      <c r="B143">
        <v>125</v>
      </c>
      <c r="C143" t="s">
        <v>90</v>
      </c>
    </row>
    <row r="144" spans="1:3">
      <c r="A144" t="s">
        <v>59</v>
      </c>
      <c r="B144">
        <v>128</v>
      </c>
      <c r="C144" t="s">
        <v>93</v>
      </c>
    </row>
    <row r="145" spans="1:3">
      <c r="A145" t="s">
        <v>60</v>
      </c>
      <c r="B145">
        <v>123</v>
      </c>
      <c r="C145" t="s">
        <v>91</v>
      </c>
    </row>
    <row r="146" spans="1:3">
      <c r="A146" t="s">
        <v>60</v>
      </c>
      <c r="B146">
        <v>130</v>
      </c>
      <c r="C146" t="s">
        <v>92</v>
      </c>
    </row>
    <row r="147" spans="1:3">
      <c r="A147" t="s">
        <v>61</v>
      </c>
      <c r="B147">
        <v>131</v>
      </c>
      <c r="C147" t="s">
        <v>95</v>
      </c>
    </row>
    <row r="148" spans="1:3">
      <c r="A148" t="s">
        <v>61</v>
      </c>
      <c r="B148">
        <v>133</v>
      </c>
      <c r="C148" t="s">
        <v>96</v>
      </c>
    </row>
    <row r="149" spans="1:3">
      <c r="A149" t="s">
        <v>62</v>
      </c>
      <c r="B149">
        <v>118</v>
      </c>
      <c r="C149" t="s">
        <v>97</v>
      </c>
    </row>
    <row r="150" spans="1:3">
      <c r="A150" t="s">
        <v>62</v>
      </c>
      <c r="B150">
        <v>121</v>
      </c>
      <c r="C150" t="s">
        <v>89</v>
      </c>
    </row>
    <row r="151" spans="1:3">
      <c r="A151" t="s">
        <v>63</v>
      </c>
      <c r="B151">
        <v>123</v>
      </c>
      <c r="C151" t="s">
        <v>91</v>
      </c>
    </row>
    <row r="152" spans="1:3">
      <c r="A152" t="s">
        <v>63</v>
      </c>
      <c r="B152">
        <v>130</v>
      </c>
      <c r="C152" t="s">
        <v>92</v>
      </c>
    </row>
    <row r="153" spans="1:3">
      <c r="A153" t="s">
        <v>64</v>
      </c>
      <c r="B153">
        <v>125</v>
      </c>
      <c r="C153" t="s">
        <v>90</v>
      </c>
    </row>
    <row r="154" spans="1:3">
      <c r="A154" t="s">
        <v>64</v>
      </c>
      <c r="B154">
        <v>128</v>
      </c>
      <c r="C154" t="s">
        <v>93</v>
      </c>
    </row>
    <row r="155" spans="1:3">
      <c r="A155" t="s">
        <v>65</v>
      </c>
      <c r="B155">
        <v>118</v>
      </c>
      <c r="C155" t="s">
        <v>97</v>
      </c>
    </row>
    <row r="156" spans="1:3">
      <c r="A156" t="s">
        <v>65</v>
      </c>
      <c r="B156">
        <v>121</v>
      </c>
      <c r="C156" t="s">
        <v>89</v>
      </c>
    </row>
    <row r="157" spans="1:3">
      <c r="A157" t="s">
        <v>66</v>
      </c>
      <c r="B157">
        <v>131</v>
      </c>
      <c r="C157" t="s">
        <v>95</v>
      </c>
    </row>
    <row r="158" spans="1:3">
      <c r="A158" t="s">
        <v>66</v>
      </c>
      <c r="B158">
        <v>133</v>
      </c>
      <c r="C158" t="s">
        <v>96</v>
      </c>
    </row>
    <row r="159" spans="1:3">
      <c r="A159" t="s">
        <v>67</v>
      </c>
      <c r="B159">
        <v>125</v>
      </c>
      <c r="C159" t="s">
        <v>90</v>
      </c>
    </row>
    <row r="160" spans="1:3">
      <c r="A160" t="s">
        <v>67</v>
      </c>
      <c r="B160">
        <v>128</v>
      </c>
      <c r="C160" t="s">
        <v>93</v>
      </c>
    </row>
    <row r="161" spans="1:3">
      <c r="A161" t="s">
        <v>68</v>
      </c>
      <c r="B161">
        <v>123</v>
      </c>
      <c r="C161" t="s">
        <v>91</v>
      </c>
    </row>
    <row r="162" spans="1:3">
      <c r="A162" t="s">
        <v>68</v>
      </c>
      <c r="B162">
        <v>130</v>
      </c>
      <c r="C162" t="s">
        <v>92</v>
      </c>
    </row>
    <row r="163" spans="1:3">
      <c r="A163" t="s">
        <v>69</v>
      </c>
      <c r="B163">
        <v>131</v>
      </c>
      <c r="C163" t="s">
        <v>95</v>
      </c>
    </row>
    <row r="164" spans="1:3">
      <c r="A164" t="s">
        <v>69</v>
      </c>
      <c r="B164">
        <v>133</v>
      </c>
      <c r="C164" t="s">
        <v>96</v>
      </c>
    </row>
    <row r="165" spans="1:3">
      <c r="A165" t="s">
        <v>70</v>
      </c>
      <c r="B165">
        <v>118</v>
      </c>
      <c r="C165" t="s">
        <v>97</v>
      </c>
    </row>
    <row r="166" spans="1:3">
      <c r="A166" t="s">
        <v>70</v>
      </c>
      <c r="B166">
        <v>121</v>
      </c>
      <c r="C166" t="s">
        <v>89</v>
      </c>
    </row>
    <row r="167" spans="1:3">
      <c r="A167" t="s">
        <v>71</v>
      </c>
      <c r="B167">
        <v>123</v>
      </c>
      <c r="C167" t="s">
        <v>91</v>
      </c>
    </row>
    <row r="168" spans="1:3">
      <c r="A168" t="s">
        <v>71</v>
      </c>
      <c r="B168">
        <v>130</v>
      </c>
      <c r="C168" t="s">
        <v>92</v>
      </c>
    </row>
    <row r="169" spans="1:3">
      <c r="A169" t="s">
        <v>72</v>
      </c>
      <c r="B169">
        <v>125</v>
      </c>
      <c r="C169" t="s">
        <v>90</v>
      </c>
    </row>
    <row r="170" spans="1:3">
      <c r="A170" t="s">
        <v>72</v>
      </c>
      <c r="B170">
        <v>128</v>
      </c>
      <c r="C170" t="s">
        <v>93</v>
      </c>
    </row>
    <row r="171" spans="1:3">
      <c r="A171" t="s">
        <v>73</v>
      </c>
      <c r="B171">
        <v>118</v>
      </c>
      <c r="C171" t="s">
        <v>97</v>
      </c>
    </row>
    <row r="172" spans="1:3">
      <c r="A172" t="s">
        <v>73</v>
      </c>
      <c r="B172">
        <v>121</v>
      </c>
      <c r="C172" t="s">
        <v>89</v>
      </c>
    </row>
    <row r="173" spans="1:3">
      <c r="A173" t="s">
        <v>74</v>
      </c>
      <c r="B173">
        <v>131</v>
      </c>
      <c r="C173" t="s">
        <v>95</v>
      </c>
    </row>
    <row r="174" spans="1:3">
      <c r="A174" t="s">
        <v>74</v>
      </c>
      <c r="B174">
        <v>133</v>
      </c>
      <c r="C174" t="s">
        <v>96</v>
      </c>
    </row>
    <row r="175" spans="1:3">
      <c r="A175" t="s">
        <v>75</v>
      </c>
      <c r="B175">
        <v>125</v>
      </c>
      <c r="C175" t="s">
        <v>90</v>
      </c>
    </row>
    <row r="176" spans="1:3">
      <c r="A176" t="s">
        <v>75</v>
      </c>
      <c r="B176">
        <v>128</v>
      </c>
      <c r="C176" t="s">
        <v>93</v>
      </c>
    </row>
    <row r="177" spans="1:11">
      <c r="A177" t="s">
        <v>76</v>
      </c>
      <c r="B177">
        <v>123</v>
      </c>
      <c r="C177" t="s">
        <v>91</v>
      </c>
    </row>
    <row r="178" spans="1:11">
      <c r="A178" t="s">
        <v>76</v>
      </c>
      <c r="B178">
        <v>130</v>
      </c>
      <c r="C178" t="s">
        <v>92</v>
      </c>
    </row>
    <row r="179" spans="1:11">
      <c r="A179" t="s">
        <v>77</v>
      </c>
      <c r="B179">
        <v>131</v>
      </c>
      <c r="C179" t="s">
        <v>95</v>
      </c>
    </row>
    <row r="180" spans="1:11">
      <c r="A180" t="s">
        <v>77</v>
      </c>
      <c r="B180">
        <v>133</v>
      </c>
      <c r="C180" t="s">
        <v>96</v>
      </c>
    </row>
    <row r="181" spans="1:11">
      <c r="A181" t="s">
        <v>78</v>
      </c>
      <c r="B181">
        <v>118</v>
      </c>
      <c r="C181" t="s">
        <v>97</v>
      </c>
    </row>
    <row r="182" spans="1:11">
      <c r="A182" t="s">
        <v>78</v>
      </c>
      <c r="B182">
        <v>121</v>
      </c>
      <c r="C182" t="s">
        <v>89</v>
      </c>
    </row>
    <row r="183" spans="1:11">
      <c r="A183" t="s">
        <v>79</v>
      </c>
      <c r="B183">
        <v>123</v>
      </c>
      <c r="C183" t="s">
        <v>91</v>
      </c>
    </row>
    <row r="184" spans="1:11">
      <c r="A184" t="s">
        <v>79</v>
      </c>
      <c r="B184">
        <v>130</v>
      </c>
      <c r="C184" t="s">
        <v>92</v>
      </c>
    </row>
    <row r="185" spans="1:11">
      <c r="A185" t="s">
        <v>80</v>
      </c>
      <c r="B185">
        <v>125</v>
      </c>
      <c r="C185" t="s">
        <v>90</v>
      </c>
    </row>
    <row r="186" spans="1:11">
      <c r="A186" t="s">
        <v>80</v>
      </c>
      <c r="B186">
        <v>128</v>
      </c>
      <c r="C186" t="s">
        <v>93</v>
      </c>
    </row>
    <row r="187" spans="1:11">
      <c r="A187" t="s">
        <v>81</v>
      </c>
      <c r="B187">
        <v>118</v>
      </c>
      <c r="C187" t="s">
        <v>97</v>
      </c>
    </row>
    <row r="188" spans="1:11">
      <c r="A188" t="s">
        <v>81</v>
      </c>
      <c r="B188">
        <v>121</v>
      </c>
      <c r="C188" t="s">
        <v>89</v>
      </c>
    </row>
    <row r="189" spans="1:11">
      <c r="A189" t="s">
        <v>82</v>
      </c>
      <c r="B189">
        <v>131</v>
      </c>
      <c r="C189" t="s">
        <v>95</v>
      </c>
    </row>
    <row r="190" spans="1:11">
      <c r="A190" t="s">
        <v>82</v>
      </c>
      <c r="B190">
        <v>133</v>
      </c>
      <c r="C190" t="s">
        <v>96</v>
      </c>
    </row>
    <row r="192" spans="1:11">
      <c r="A192" t="s">
        <v>98</v>
      </c>
      <c r="B192" t="s">
        <v>83</v>
      </c>
      <c r="C192" t="s">
        <v>99</v>
      </c>
      <c r="D192" t="s">
        <v>100</v>
      </c>
      <c r="E192" t="s">
        <v>101</v>
      </c>
      <c r="F192" t="s">
        <v>102</v>
      </c>
      <c r="G192" t="s">
        <v>103</v>
      </c>
      <c r="H192" t="s">
        <v>104</v>
      </c>
      <c r="I192" t="s">
        <v>105</v>
      </c>
      <c r="J192" t="s">
        <v>122</v>
      </c>
      <c r="K192" t="s">
        <v>121</v>
      </c>
    </row>
    <row r="193" spans="1:11">
      <c r="A193">
        <v>1</v>
      </c>
      <c r="B193" s="10">
        <v>42736</v>
      </c>
      <c r="C193" t="s">
        <v>83</v>
      </c>
      <c r="D193" t="s">
        <v>89</v>
      </c>
      <c r="E193" t="s">
        <v>90</v>
      </c>
      <c r="F193">
        <v>9177</v>
      </c>
      <c r="G193">
        <v>9286</v>
      </c>
      <c r="H193">
        <v>9431</v>
      </c>
      <c r="I193">
        <v>0</v>
      </c>
      <c r="J193">
        <v>12</v>
      </c>
      <c r="K193">
        <v>12</v>
      </c>
    </row>
    <row r="194" spans="1:11">
      <c r="B194" s="10"/>
    </row>
    <row r="195" spans="1:11">
      <c r="B195" s="10"/>
    </row>
    <row r="196" spans="1:11">
      <c r="B196" s="10"/>
    </row>
    <row r="197" spans="1:11">
      <c r="B197" s="10"/>
    </row>
    <row r="198" spans="1:11">
      <c r="B198" s="10"/>
    </row>
    <row r="199" spans="1:11">
      <c r="B199" s="10"/>
    </row>
    <row r="200" spans="1:11">
      <c r="B200" s="10"/>
    </row>
    <row r="201" spans="1:11">
      <c r="B201" s="10"/>
    </row>
    <row r="202" spans="1:11">
      <c r="B202" s="10"/>
    </row>
    <row r="203" spans="1:11">
      <c r="B203" s="10"/>
    </row>
    <row r="204" spans="1:11">
      <c r="B204" s="10"/>
    </row>
    <row r="205" spans="1:11">
      <c r="B205" s="10"/>
    </row>
    <row r="206" spans="1:11">
      <c r="B206" s="10"/>
    </row>
    <row r="207" spans="1:11">
      <c r="B207" s="10"/>
    </row>
    <row r="208" spans="1:11">
      <c r="B208" s="10"/>
    </row>
    <row r="209" spans="2:2">
      <c r="B209" s="10"/>
    </row>
    <row r="210" spans="2:2">
      <c r="B210" s="10"/>
    </row>
    <row r="211" spans="2:2">
      <c r="B211" s="10"/>
    </row>
    <row r="212" spans="2:2">
      <c r="B212" s="10"/>
    </row>
    <row r="213" spans="2:2">
      <c r="B213" s="10"/>
    </row>
    <row r="214" spans="2:2">
      <c r="B214" s="10"/>
    </row>
    <row r="215" spans="2:2">
      <c r="B215" s="10"/>
    </row>
    <row r="216" spans="2:2">
      <c r="B216" s="10"/>
    </row>
    <row r="217" spans="2:2">
      <c r="B217" s="10"/>
    </row>
    <row r="218" spans="2:2">
      <c r="B218" s="10"/>
    </row>
    <row r="219" spans="2:2">
      <c r="B219" s="10"/>
    </row>
    <row r="220" spans="2:2">
      <c r="B220" s="10"/>
    </row>
    <row r="221" spans="2:2">
      <c r="B221" s="10"/>
    </row>
    <row r="222" spans="2:2">
      <c r="B222" s="10"/>
    </row>
    <row r="223" spans="2:2">
      <c r="B223" s="10"/>
    </row>
    <row r="224" spans="2:2">
      <c r="B224" s="10"/>
    </row>
    <row r="225" spans="2:2">
      <c r="B225" s="10"/>
    </row>
    <row r="226" spans="2:2">
      <c r="B226" s="10"/>
    </row>
    <row r="227" spans="2:2">
      <c r="B227" s="10"/>
    </row>
    <row r="228" spans="2:2">
      <c r="B228" s="10"/>
    </row>
    <row r="229" spans="2:2">
      <c r="B229" s="10"/>
    </row>
    <row r="230" spans="2:2">
      <c r="B230" s="10"/>
    </row>
    <row r="231" spans="2:2">
      <c r="B231" s="10"/>
    </row>
    <row r="232" spans="2:2">
      <c r="B232" s="10"/>
    </row>
    <row r="233" spans="2:2">
      <c r="B233" s="10"/>
    </row>
    <row r="234" spans="2:2">
      <c r="B234" s="10"/>
    </row>
    <row r="235" spans="2:2">
      <c r="B235" s="10"/>
    </row>
    <row r="236" spans="2:2">
      <c r="B236" s="10"/>
    </row>
    <row r="237" spans="2:2">
      <c r="B237" s="10"/>
    </row>
    <row r="238" spans="2:2">
      <c r="B238" s="10"/>
    </row>
    <row r="239" spans="2:2">
      <c r="B239" s="10"/>
    </row>
    <row r="240" spans="2:2">
      <c r="B240" s="10"/>
    </row>
    <row r="241" spans="2:2">
      <c r="B241" s="10"/>
    </row>
    <row r="242" spans="2:2">
      <c r="B242" s="10"/>
    </row>
    <row r="243" spans="2:2">
      <c r="B243" s="10"/>
    </row>
    <row r="244" spans="2:2">
      <c r="B244" s="10"/>
    </row>
    <row r="245" spans="2:2">
      <c r="B245" s="10"/>
    </row>
    <row r="246" spans="2:2">
      <c r="B246" s="10"/>
    </row>
    <row r="247" spans="2:2">
      <c r="B247" s="10"/>
    </row>
    <row r="248" spans="2:2">
      <c r="B248" s="10"/>
    </row>
    <row r="249" spans="2:2">
      <c r="B249" s="10"/>
    </row>
    <row r="250" spans="2:2">
      <c r="B250" s="10"/>
    </row>
    <row r="251" spans="2:2">
      <c r="B251" s="10"/>
    </row>
    <row r="252" spans="2:2">
      <c r="B252" s="10"/>
    </row>
    <row r="253" spans="2:2">
      <c r="B253" s="10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Report</vt:lpstr>
      <vt:lpstr>Graph</vt:lpstr>
      <vt:lpstr>ForReport</vt:lpstr>
      <vt:lpstr>Data</vt:lpstr>
      <vt:lpstr>MonthReport</vt:lpstr>
      <vt:lpstr>PowerByWorker</vt:lpstr>
      <vt:lpstr>ShiftGas</vt:lpstr>
      <vt:lpstr>ShiftPower</vt:lpstr>
      <vt:lpstr>ShiftPowerByGas</vt:lpstr>
    </vt:vector>
  </TitlesOfParts>
  <Company>Carestream Health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Zhang</dc:creator>
  <cp:lastModifiedBy>Ryan Zhang</cp:lastModifiedBy>
  <dcterms:created xsi:type="dcterms:W3CDTF">2017-01-16T05:06:46Z</dcterms:created>
  <dcterms:modified xsi:type="dcterms:W3CDTF">2017-03-29T05:04:02Z</dcterms:modified>
</cp:coreProperties>
</file>